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_sinha/Library/Mobile Documents/com~apple~CloudDocs/The World/Projects Google Drive Files/Team Royengal/Farhan Hassin/Farhan User Folder/Stock Market/Current Quater File/"/>
    </mc:Choice>
  </mc:AlternateContent>
  <xr:revisionPtr revIDLastSave="0" documentId="13_ncr:1_{4CC55F2E-C94D-FB4E-A4D9-243DA83A52D5}" xr6:coauthVersionLast="47" xr6:coauthVersionMax="47" xr10:uidLastSave="{00000000-0000-0000-0000-000000000000}"/>
  <bookViews>
    <workbookView xWindow="0" yWindow="600" windowWidth="28300" windowHeight="22600" xr2:uid="{A8644437-6540-4DDF-B6F1-4231DADC4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H55" i="1" s="1"/>
  <c r="L55" i="1" s="1"/>
  <c r="F54" i="1"/>
  <c r="G46" i="1"/>
  <c r="H46" i="1" s="1"/>
  <c r="L46" i="1" s="1"/>
  <c r="G45" i="1"/>
  <c r="G47" i="1"/>
  <c r="H47" i="1" s="1"/>
  <c r="L47" i="1" s="1"/>
  <c r="G48" i="1"/>
  <c r="H48" i="1" s="1"/>
  <c r="L48" i="1" s="1"/>
  <c r="G49" i="1"/>
  <c r="H49" i="1" s="1"/>
  <c r="L49" i="1" s="1"/>
  <c r="G50" i="1"/>
  <c r="H50" i="1" s="1"/>
  <c r="L50" i="1" s="1"/>
  <c r="G51" i="1"/>
  <c r="H51" i="1" s="1"/>
  <c r="L51" i="1" s="1"/>
  <c r="G52" i="1"/>
  <c r="H52" i="1" s="1"/>
  <c r="G53" i="1"/>
  <c r="H53" i="1" s="1"/>
  <c r="L53" i="1" s="1"/>
  <c r="H54" i="1"/>
  <c r="L54" i="1" s="1"/>
  <c r="G44" i="1"/>
  <c r="J44" i="1"/>
  <c r="G43" i="1"/>
  <c r="G42" i="1"/>
  <c r="G41" i="1"/>
  <c r="G40" i="1"/>
  <c r="H40" i="1" s="1"/>
  <c r="L40" i="1" s="1"/>
  <c r="G39" i="1"/>
  <c r="G38" i="1"/>
  <c r="H38" i="1" s="1"/>
  <c r="L38" i="1" s="1"/>
  <c r="G37" i="1"/>
  <c r="H37" i="1" s="1"/>
  <c r="L37" i="1" s="1"/>
  <c r="G36" i="1"/>
  <c r="H36" i="1"/>
  <c r="L36" i="1" s="1"/>
  <c r="H39" i="1"/>
  <c r="L39" i="1" s="1"/>
  <c r="H41" i="1"/>
  <c r="L41" i="1" s="1"/>
  <c r="H42" i="1"/>
  <c r="L42" i="1" s="1"/>
  <c r="H44" i="1"/>
  <c r="L44" i="1" s="1"/>
  <c r="G35" i="1"/>
  <c r="H35" i="1" s="1"/>
  <c r="L35" i="1" s="1"/>
  <c r="G34" i="1"/>
  <c r="G32" i="1"/>
  <c r="H32" i="1" s="1"/>
  <c r="L32" i="1" s="1"/>
  <c r="G31" i="1"/>
  <c r="H31" i="1" s="1"/>
  <c r="L31" i="1" s="1"/>
  <c r="H30" i="1"/>
  <c r="L30" i="1" s="1"/>
  <c r="G29" i="1"/>
  <c r="G28" i="1"/>
  <c r="F27" i="1"/>
  <c r="H27" i="1" s="1"/>
  <c r="L27" i="1" s="1"/>
  <c r="G26" i="1"/>
  <c r="H26" i="1" s="1"/>
  <c r="L26" i="1" s="1"/>
  <c r="G25" i="1"/>
  <c r="G24" i="1"/>
  <c r="H24" i="1" s="1"/>
  <c r="L24" i="1" s="1"/>
  <c r="G23" i="1"/>
  <c r="H23" i="1" s="1"/>
  <c r="L23" i="1" s="1"/>
  <c r="G22" i="1"/>
  <c r="H22" i="1" s="1"/>
  <c r="L22" i="1" s="1"/>
  <c r="G21" i="1"/>
  <c r="G20" i="1"/>
  <c r="H20" i="1" s="1"/>
  <c r="L20" i="1" s="1"/>
  <c r="G19" i="1"/>
  <c r="H19" i="1" s="1"/>
  <c r="L19" i="1" s="1"/>
  <c r="G18" i="1"/>
  <c r="H18" i="1" s="1"/>
  <c r="L18" i="1" s="1"/>
  <c r="G17" i="1"/>
  <c r="G16" i="1"/>
  <c r="H16" i="1"/>
  <c r="L16" i="1" s="1"/>
  <c r="G15" i="1"/>
  <c r="H15" i="1" s="1"/>
  <c r="L15" i="1" s="1"/>
  <c r="H14" i="1"/>
  <c r="L14" i="1" s="1"/>
  <c r="G14" i="1"/>
  <c r="F13" i="1"/>
  <c r="G12" i="1"/>
  <c r="H12" i="1" s="1"/>
  <c r="L12" i="1" s="1"/>
  <c r="G11" i="1"/>
  <c r="G10" i="1"/>
  <c r="H10" i="1" s="1"/>
  <c r="L10" i="1" s="1"/>
  <c r="G9" i="1"/>
  <c r="H9" i="1" s="1"/>
  <c r="L9" i="1" s="1"/>
  <c r="G8" i="1"/>
  <c r="H8" i="1" s="1"/>
  <c r="L8" i="1" s="1"/>
  <c r="G7" i="1"/>
  <c r="H7" i="1" s="1"/>
  <c r="L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5" i="1"/>
  <c r="J46" i="1"/>
  <c r="J47" i="1"/>
  <c r="J48" i="1"/>
  <c r="J49" i="1"/>
  <c r="J50" i="1"/>
  <c r="J51" i="1"/>
  <c r="J52" i="1"/>
  <c r="J53" i="1"/>
  <c r="J54" i="1"/>
  <c r="J55" i="1"/>
  <c r="H3" i="1"/>
  <c r="L3" i="1" s="1"/>
  <c r="H4" i="1"/>
  <c r="L4" i="1" s="1"/>
  <c r="H5" i="1"/>
  <c r="L5" i="1" s="1"/>
  <c r="H6" i="1"/>
  <c r="L6" i="1" s="1"/>
  <c r="H11" i="1"/>
  <c r="L11" i="1" s="1"/>
  <c r="H13" i="1"/>
  <c r="L13" i="1" s="1"/>
  <c r="H17" i="1"/>
  <c r="L17" i="1" s="1"/>
  <c r="H21" i="1"/>
  <c r="L21" i="1" s="1"/>
  <c r="H25" i="1"/>
  <c r="L25" i="1" s="1"/>
  <c r="H28" i="1"/>
  <c r="L28" i="1" s="1"/>
  <c r="H29" i="1"/>
  <c r="L29" i="1" s="1"/>
  <c r="H33" i="1"/>
  <c r="L33" i="1" s="1"/>
  <c r="H34" i="1"/>
  <c r="L34" i="1" s="1"/>
  <c r="H43" i="1"/>
  <c r="L43" i="1" s="1"/>
  <c r="H45" i="1"/>
  <c r="L45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L2" i="1"/>
  <c r="J2" i="1"/>
  <c r="H2" i="1"/>
  <c r="D2" i="1"/>
  <c r="L52" i="1" l="1"/>
</calcChain>
</file>

<file path=xl/sharedStrings.xml><?xml version="1.0" encoding="utf-8"?>
<sst xmlns="http://schemas.openxmlformats.org/spreadsheetml/2006/main" count="178" uniqueCount="177">
  <si>
    <t>TY</t>
  </si>
  <si>
    <t>Company name</t>
  </si>
  <si>
    <t>TOTAL SHARES</t>
  </si>
  <si>
    <t>MARKET CAPITAL(ml)</t>
  </si>
  <si>
    <t>Total Shareholders Equity(ml)</t>
  </si>
  <si>
    <t>EPS IN LAST 12 MONTHS</t>
  </si>
  <si>
    <t>P/E BASED ON LAST ANNUAL REPORT</t>
  </si>
  <si>
    <t>AVERAGE P/E FOR LAST 10 YEARS</t>
  </si>
  <si>
    <t>P/E BASED ON LAST 12 MONTHS</t>
  </si>
  <si>
    <t>PRICE</t>
  </si>
  <si>
    <t>book value per share $</t>
  </si>
  <si>
    <t>52 Weeks Low - High</t>
  </si>
  <si>
    <t>BUY PRICE</t>
  </si>
  <si>
    <t>VEA</t>
  </si>
  <si>
    <t>Viva Energy Group Ltd</t>
  </si>
  <si>
    <t>DDR</t>
  </si>
  <si>
    <t>FMG</t>
  </si>
  <si>
    <t>RIO</t>
  </si>
  <si>
    <t>APE</t>
  </si>
  <si>
    <t>AFG</t>
  </si>
  <si>
    <t>ASH</t>
  </si>
  <si>
    <t>ASG</t>
  </si>
  <si>
    <t>SGM</t>
  </si>
  <si>
    <t>ACL</t>
  </si>
  <si>
    <t>ORA</t>
  </si>
  <si>
    <t>HLI</t>
  </si>
  <si>
    <t>LAU</t>
  </si>
  <si>
    <t>GAP</t>
  </si>
  <si>
    <t>ELD</t>
  </si>
  <si>
    <t>GNC</t>
  </si>
  <si>
    <t>SGLLV</t>
  </si>
  <si>
    <t>PWR</t>
  </si>
  <si>
    <t>PLS</t>
  </si>
  <si>
    <t>KGN</t>
  </si>
  <si>
    <t>KMD</t>
  </si>
  <si>
    <t>STP</t>
  </si>
  <si>
    <t>AX1</t>
  </si>
  <si>
    <t>CBA</t>
  </si>
  <si>
    <t>WBC</t>
  </si>
  <si>
    <t>NAB</t>
  </si>
  <si>
    <t>MQG</t>
  </si>
  <si>
    <t>QBE</t>
  </si>
  <si>
    <t>SUN</t>
  </si>
  <si>
    <t>BEN</t>
  </si>
  <si>
    <t>ANZ</t>
  </si>
  <si>
    <t>BOQ</t>
  </si>
  <si>
    <t>SVR</t>
  </si>
  <si>
    <t>COL</t>
  </si>
  <si>
    <t>A2M</t>
  </si>
  <si>
    <t>BGA</t>
  </si>
  <si>
    <t>PTL</t>
  </si>
  <si>
    <t>WOW</t>
  </si>
  <si>
    <t>BRG</t>
  </si>
  <si>
    <t>SUL</t>
  </si>
  <si>
    <t>ADH</t>
  </si>
  <si>
    <t>MTO</t>
  </si>
  <si>
    <t>NTD</t>
  </si>
  <si>
    <t>JBH</t>
  </si>
  <si>
    <t>CFK</t>
  </si>
  <si>
    <t>WES</t>
  </si>
  <si>
    <t>HVN</t>
  </si>
  <si>
    <t>ANN</t>
  </si>
  <si>
    <t>SIG</t>
  </si>
  <si>
    <t>REH</t>
  </si>
  <si>
    <t>ALD</t>
  </si>
  <si>
    <t>WPR</t>
  </si>
  <si>
    <t>Dicker Data Ltd</t>
  </si>
  <si>
    <t>Fortescue Metals Group Ltd</t>
  </si>
  <si>
    <t>RIO Tinto Ltd</t>
  </si>
  <si>
    <t>Waypoint REIT</t>
  </si>
  <si>
    <t>Ampol Ltd</t>
  </si>
  <si>
    <t>Step One Clothing Ltd</t>
  </si>
  <si>
    <t>Reece Ltd</t>
  </si>
  <si>
    <t>Sigma Healthcare Ltd</t>
  </si>
  <si>
    <t>Ansell Ltd</t>
  </si>
  <si>
    <t>Harvey Norman Holdings Ltd</t>
  </si>
  <si>
    <t>Wesfarmers Ltd</t>
  </si>
  <si>
    <t>Collins Foods Ltd</t>
  </si>
  <si>
    <t>KMD Brands Ltd</t>
  </si>
  <si>
    <t>JB Hi-Fi Ltd</t>
  </si>
  <si>
    <t>National Tyre &amp; Wheel Ltd</t>
  </si>
  <si>
    <t>Motorcycle Holdings Ltd</t>
  </si>
  <si>
    <t>Adairs Ltd</t>
  </si>
  <si>
    <t>Super Retail Group Ltd</t>
  </si>
  <si>
    <t>Breville Group Ltd</t>
  </si>
  <si>
    <t>Woolworths Group Ltd</t>
  </si>
  <si>
    <t>Pental Ltd</t>
  </si>
  <si>
    <t>Bega Cheese Ltd </t>
  </si>
  <si>
    <t>a2 Milk Company Ltd</t>
  </si>
  <si>
    <t>Coles Group Limited</t>
  </si>
  <si>
    <t>Solvar Ltd</t>
  </si>
  <si>
    <t>Bank of Queensland Ltd</t>
  </si>
  <si>
    <t>Australia and New Zealand Banking Group Ltd</t>
  </si>
  <si>
    <t>Bendigo and Adelaide Bank Ltd</t>
  </si>
  <si>
    <t>Suncorp Group Ltd</t>
  </si>
  <si>
    <t>QBE Insurance Group Limited</t>
  </si>
  <si>
    <t>Macquarie Group Limited</t>
  </si>
  <si>
    <t>National Australia Bank Ltd</t>
  </si>
  <si>
    <t>Westpac Banking Corporation</t>
  </si>
  <si>
    <t>Commonwealth Bank of Australia</t>
  </si>
  <si>
    <t>Accent Group Ltd</t>
  </si>
  <si>
    <t>KMD Brands Limited </t>
  </si>
  <si>
    <t>Kogan.com Ltd</t>
  </si>
  <si>
    <t>Pilbara Minerals Ltd</t>
  </si>
  <si>
    <t>Peter Warren Automotive Holdings Limited</t>
  </si>
  <si>
    <t>Ricegrowers Ltd</t>
  </si>
  <si>
    <t>Graincorp Ltd </t>
  </si>
  <si>
    <t>Elders Ltd </t>
  </si>
  <si>
    <t>Gale Pacific Ltd</t>
  </si>
  <si>
    <t>Lindsay Australia Limited</t>
  </si>
  <si>
    <t>Helia Group Ltd</t>
  </si>
  <si>
    <t>Orora Limited</t>
  </si>
  <si>
    <t>Australian Clinical Labs Ltd</t>
  </si>
  <si>
    <t>Sims Ltd</t>
  </si>
  <si>
    <t>Autosports Group Ltd</t>
  </si>
  <si>
    <t>Ashley Services Group</t>
  </si>
  <si>
    <t>Australian Finance Group Ltd </t>
  </si>
  <si>
    <t>Eagers Automotive Ltd</t>
  </si>
  <si>
    <t>IAG</t>
  </si>
  <si>
    <t>Insurance Australia Group Ltd</t>
  </si>
  <si>
    <t>1H2025(JAN-JUNE)</t>
  </si>
  <si>
    <t>2H2024(JUL-DEC)</t>
  </si>
  <si>
    <t>EPS AP 24/25</t>
  </si>
  <si>
    <t>1.41 - 2.83</t>
  </si>
  <si>
    <t>7.58 - 10.94</t>
  </si>
  <si>
    <t>13.18 - 22.11</t>
  </si>
  <si>
    <t>100.75 - 140.58</t>
  </si>
  <si>
    <t>10.90 - 35.64</t>
  </si>
  <si>
    <t>1.425 - 2.92</t>
  </si>
  <si>
    <t>0.128 - 0.245</t>
  </si>
  <si>
    <t>1.605 - 4.70</t>
  </si>
  <si>
    <t>11.63 - 18.11</t>
  </si>
  <si>
    <t>2.38 - 3.83</t>
  </si>
  <si>
    <t>1.655 - 2.50</t>
  </si>
  <si>
    <t>3.43 - 6.19</t>
  </si>
  <si>
    <t>0.580 - 0.910</t>
  </si>
  <si>
    <t>0.086 - 0.140</t>
  </si>
  <si>
    <t>5.73 - 7.91</t>
  </si>
  <si>
    <t>6.34 - 9.13</t>
  </si>
  <si>
    <t>9.15 - 18.63</t>
  </si>
  <si>
    <t>1.210 - 2.05</t>
  </si>
  <si>
    <t>1.07 - 4.26</t>
  </si>
  <si>
    <t>2.88 - 6.37</t>
  </si>
  <si>
    <t>0.205 - 0.400</t>
  </si>
  <si>
    <t>0.915 - 2.46</t>
  </si>
  <si>
    <t>140.21 - 192</t>
  </si>
  <si>
    <t>28.44 - 41</t>
  </si>
  <si>
    <t>31.13 - 45.25</t>
  </si>
  <si>
    <t>160  - 242.90</t>
  </si>
  <si>
    <t>18.34 - 24.20</t>
  </si>
  <si>
    <t>16.63 - 22.14</t>
  </si>
  <si>
    <t>7.10 - 9.21</t>
  </si>
  <si>
    <t>9.50 - 13.73</t>
  </si>
  <si>
    <t>26.22 - 38.93</t>
  </si>
  <si>
    <t>6.20 - 8.16</t>
  </si>
  <si>
    <t>1.225 - 1.830</t>
  </si>
  <si>
    <t>18.33 - 24.28</t>
  </si>
  <si>
    <t>5.43 - 9.78</t>
  </si>
  <si>
    <t>4.85 - 6.30</t>
  </si>
  <si>
    <t>0.041 - 0.097</t>
  </si>
  <si>
    <t>25.52 0- 33.76</t>
  </si>
  <si>
    <t>24.33 - 39</t>
  </si>
  <si>
    <t>12.06 - 20.20</t>
  </si>
  <si>
    <t>1.745 - 2.99</t>
  </si>
  <si>
    <t>1.635 - 4</t>
  </si>
  <si>
    <t>0.160 - 0.400</t>
  </si>
  <si>
    <t>83.32 - 121</t>
  </si>
  <si>
    <t>0.205 - 0.40</t>
  </si>
  <si>
    <t>7.04 - 12.73</t>
  </si>
  <si>
    <t>67.70 - 95.18</t>
  </si>
  <si>
    <t>4.53 - 7.70</t>
  </si>
  <si>
    <t>28.19 - 37.85</t>
  </si>
  <si>
    <t>2.57 - 3.32</t>
  </si>
  <si>
    <t>10.14  - 24.60</t>
  </si>
  <si>
    <t>0.260 - 1.450</t>
  </si>
  <si>
    <t>19.53 - 32.74</t>
  </si>
  <si>
    <t>2.31 - 2.82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</si>
</sst>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top"/>
    </xf>
    <xf numFmtId="0" fontId="2" fillId="0" borderId="0" xfId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ketindex.com.au/asx/lau" TargetMode="External"/><Relationship Id="rId18" Type="http://schemas.openxmlformats.org/officeDocument/2006/relationships/hyperlink" Target="https://www.marketindex.com.au/asx/pwr/" TargetMode="External"/><Relationship Id="rId26" Type="http://schemas.openxmlformats.org/officeDocument/2006/relationships/hyperlink" Target="https://www.marketindex.com.au/asx/mqg" TargetMode="External"/><Relationship Id="rId39" Type="http://schemas.openxmlformats.org/officeDocument/2006/relationships/hyperlink" Target="https://www.marketindex.com.au/asx/sul" TargetMode="External"/><Relationship Id="rId21" Type="http://schemas.openxmlformats.org/officeDocument/2006/relationships/hyperlink" Target="https://www.marketindex.com.au/asx/kmd" TargetMode="External"/><Relationship Id="rId34" Type="http://schemas.openxmlformats.org/officeDocument/2006/relationships/hyperlink" Target="https://www.marketindex.com.au/asx/a2m" TargetMode="External"/><Relationship Id="rId42" Type="http://schemas.openxmlformats.org/officeDocument/2006/relationships/hyperlink" Target="https://www.marketindex.com.au/asx/ntd" TargetMode="External"/><Relationship Id="rId47" Type="http://schemas.openxmlformats.org/officeDocument/2006/relationships/hyperlink" Target="https://www.marketindex.com.au/asx/hvn" TargetMode="External"/><Relationship Id="rId50" Type="http://schemas.openxmlformats.org/officeDocument/2006/relationships/hyperlink" Target="https://www.marketindex.com.au/asx/reh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marketindex.com.au/asx/ash" TargetMode="External"/><Relationship Id="rId2" Type="http://schemas.openxmlformats.org/officeDocument/2006/relationships/hyperlink" Target="https://www.marketindex.com.au/asx/ddr" TargetMode="External"/><Relationship Id="rId16" Type="http://schemas.openxmlformats.org/officeDocument/2006/relationships/hyperlink" Target="https://www.marketindex.com.au/asx/gnc" TargetMode="External"/><Relationship Id="rId29" Type="http://schemas.openxmlformats.org/officeDocument/2006/relationships/hyperlink" Target="https://www.marketindex.com.au/asx/ben" TargetMode="External"/><Relationship Id="rId11" Type="http://schemas.openxmlformats.org/officeDocument/2006/relationships/hyperlink" Target="https://www.marketindex.com.au/asx/ora" TargetMode="External"/><Relationship Id="rId24" Type="http://schemas.openxmlformats.org/officeDocument/2006/relationships/hyperlink" Target="https://www.marketindex.com.au/asx/wbc" TargetMode="External"/><Relationship Id="rId32" Type="http://schemas.openxmlformats.org/officeDocument/2006/relationships/hyperlink" Target="https://www.marketindex.com.au/asx/svr" TargetMode="External"/><Relationship Id="rId37" Type="http://schemas.openxmlformats.org/officeDocument/2006/relationships/hyperlink" Target="https://www.marketindex.com.au/asx/wow" TargetMode="External"/><Relationship Id="rId40" Type="http://schemas.openxmlformats.org/officeDocument/2006/relationships/hyperlink" Target="https://www.marketindex.com.au/asx/adh" TargetMode="External"/><Relationship Id="rId45" Type="http://schemas.openxmlformats.org/officeDocument/2006/relationships/hyperlink" Target="https://www.marketindex.com.au/asx/ckf" TargetMode="External"/><Relationship Id="rId53" Type="http://schemas.openxmlformats.org/officeDocument/2006/relationships/hyperlink" Target="https://www.marketindex.com.au/asx/wpr" TargetMode="External"/><Relationship Id="rId5" Type="http://schemas.openxmlformats.org/officeDocument/2006/relationships/hyperlink" Target="https://www.marketindex.com.au/asx/ape" TargetMode="External"/><Relationship Id="rId10" Type="http://schemas.openxmlformats.org/officeDocument/2006/relationships/hyperlink" Target="https://www.marketindex.com.au/asx/acl" TargetMode="External"/><Relationship Id="rId19" Type="http://schemas.openxmlformats.org/officeDocument/2006/relationships/hyperlink" Target="https://www.marketindex.com.au/asx/pls" TargetMode="External"/><Relationship Id="rId31" Type="http://schemas.openxmlformats.org/officeDocument/2006/relationships/hyperlink" Target="https://www.marketindex.com.au/asx/boq" TargetMode="External"/><Relationship Id="rId44" Type="http://schemas.openxmlformats.org/officeDocument/2006/relationships/hyperlink" Target="https://www.marketindex.com.au/asx/kmd" TargetMode="External"/><Relationship Id="rId52" Type="http://schemas.openxmlformats.org/officeDocument/2006/relationships/hyperlink" Target="https://www.marketindex.com.au/asx/ald" TargetMode="External"/><Relationship Id="rId4" Type="http://schemas.openxmlformats.org/officeDocument/2006/relationships/hyperlink" Target="https://www.marketindex.com.au/asx/rio" TargetMode="External"/><Relationship Id="rId9" Type="http://schemas.openxmlformats.org/officeDocument/2006/relationships/hyperlink" Target="https://www.marketindex.com.au/asx/sgm" TargetMode="External"/><Relationship Id="rId14" Type="http://schemas.openxmlformats.org/officeDocument/2006/relationships/hyperlink" Target="https://www.marketindex.com.au/asx/gap" TargetMode="External"/><Relationship Id="rId22" Type="http://schemas.openxmlformats.org/officeDocument/2006/relationships/hyperlink" Target="https://www.marketindex.com.au/asx/ax1" TargetMode="External"/><Relationship Id="rId27" Type="http://schemas.openxmlformats.org/officeDocument/2006/relationships/hyperlink" Target="https://www.marketindex.com.au/asx/qbe" TargetMode="External"/><Relationship Id="rId30" Type="http://schemas.openxmlformats.org/officeDocument/2006/relationships/hyperlink" Target="https://www.marketindex.com.au/asx/anz" TargetMode="External"/><Relationship Id="rId35" Type="http://schemas.openxmlformats.org/officeDocument/2006/relationships/hyperlink" Target="https://www.marketindex.com.au/asx/bga" TargetMode="External"/><Relationship Id="rId43" Type="http://schemas.openxmlformats.org/officeDocument/2006/relationships/hyperlink" Target="https://www.marketindex.com.au/asx/jbh" TargetMode="External"/><Relationship Id="rId48" Type="http://schemas.openxmlformats.org/officeDocument/2006/relationships/hyperlink" Target="https://www.marketindex.com.au/asx/ann" TargetMode="External"/><Relationship Id="rId8" Type="http://schemas.openxmlformats.org/officeDocument/2006/relationships/hyperlink" Target="https://www.marketindex.com.au/asx/asg" TargetMode="External"/><Relationship Id="rId51" Type="http://schemas.openxmlformats.org/officeDocument/2006/relationships/hyperlink" Target="https://www.marketindex.com.au/asx/stp" TargetMode="External"/><Relationship Id="rId3" Type="http://schemas.openxmlformats.org/officeDocument/2006/relationships/hyperlink" Target="https://www.marketindex.com.au/asx/fmg" TargetMode="External"/><Relationship Id="rId12" Type="http://schemas.openxmlformats.org/officeDocument/2006/relationships/hyperlink" Target="https://www.marketindex.com.au/asx/hli" TargetMode="External"/><Relationship Id="rId17" Type="http://schemas.openxmlformats.org/officeDocument/2006/relationships/hyperlink" Target="https://www.marketindex.com.au/asx/sgllv" TargetMode="External"/><Relationship Id="rId25" Type="http://schemas.openxmlformats.org/officeDocument/2006/relationships/hyperlink" Target="https://www.marketindex.com.au/asx/nab" TargetMode="External"/><Relationship Id="rId33" Type="http://schemas.openxmlformats.org/officeDocument/2006/relationships/hyperlink" Target="https://www.marketindex.com.au/asx/col" TargetMode="External"/><Relationship Id="rId38" Type="http://schemas.openxmlformats.org/officeDocument/2006/relationships/hyperlink" Target="https://www.marketindex.com.au/asx/brg" TargetMode="External"/><Relationship Id="rId46" Type="http://schemas.openxmlformats.org/officeDocument/2006/relationships/hyperlink" Target="https://www.marketindex.com.au/asx/wes" TargetMode="External"/><Relationship Id="rId20" Type="http://schemas.openxmlformats.org/officeDocument/2006/relationships/hyperlink" Target="https://www.marketindex.com.au/asx/kgn" TargetMode="External"/><Relationship Id="rId41" Type="http://schemas.openxmlformats.org/officeDocument/2006/relationships/hyperlink" Target="https://www.marketindex.com.au/asx/mto" TargetMode="External"/><Relationship Id="rId54" Type="http://schemas.openxmlformats.org/officeDocument/2006/relationships/hyperlink" Target="https://www.marketindex.com.au/asx/iag" TargetMode="External"/><Relationship Id="rId1" Type="http://schemas.openxmlformats.org/officeDocument/2006/relationships/hyperlink" Target="https://www.marketindex.com.au/asx/vea" TargetMode="External"/><Relationship Id="rId6" Type="http://schemas.openxmlformats.org/officeDocument/2006/relationships/hyperlink" Target="https://www.marketindex.com.au/asx/afg" TargetMode="External"/><Relationship Id="rId15" Type="http://schemas.openxmlformats.org/officeDocument/2006/relationships/hyperlink" Target="https://www.marketindex.com.au/asx/eld" TargetMode="External"/><Relationship Id="rId23" Type="http://schemas.openxmlformats.org/officeDocument/2006/relationships/hyperlink" Target="https://www.marketindex.com.au/asx/cba" TargetMode="External"/><Relationship Id="rId28" Type="http://schemas.openxmlformats.org/officeDocument/2006/relationships/hyperlink" Target="https://www.marketindex.com.au/asx/sun" TargetMode="External"/><Relationship Id="rId36" Type="http://schemas.openxmlformats.org/officeDocument/2006/relationships/hyperlink" Target="https://www.marketindex.com.au/asx/ptl" TargetMode="External"/><Relationship Id="rId49" Type="http://schemas.openxmlformats.org/officeDocument/2006/relationships/hyperlink" Target="https://www.marketindex.com.au/asx/s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4CD8-AB76-4EB6-AB40-6409FD08153A}">
  <dimension ref="A1:P55"/>
  <sheetViews>
    <sheetView tabSelected="1" zoomScale="106" zoomScaleNormal="10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60" sqref="H60"/>
    </sheetView>
  </sheetViews>
  <sheetFormatPr baseColWidth="10" defaultColWidth="8.83203125" defaultRowHeight="15" x14ac:dyDescent="0.2"/>
  <cols>
    <col min="1" max="1" width="13.1640625" style="4" customWidth="1"/>
    <col min="2" max="2" width="25.1640625" style="4" customWidth="1"/>
    <col min="3" max="3" width="16.5" style="4" customWidth="1"/>
    <col min="4" max="4" width="14.1640625" style="4" customWidth="1"/>
    <col min="5" max="5" width="12.83203125" style="4" customWidth="1"/>
    <col min="6" max="6" width="9" style="4" customWidth="1"/>
    <col min="7" max="7" width="11.6640625" style="4" customWidth="1"/>
    <col min="8" max="8" width="12.6640625" style="4" customWidth="1"/>
    <col min="9" max="9" width="8.83203125" style="4"/>
    <col min="10" max="10" width="10.5" style="4" customWidth="1"/>
    <col min="11" max="11" width="8.83203125" style="4"/>
    <col min="12" max="12" width="11" style="4" customWidth="1"/>
    <col min="13" max="13" width="12.1640625" style="4" customWidth="1"/>
    <col min="14" max="14" width="17.5" style="4" customWidth="1"/>
    <col min="15" max="15" width="19.1640625" style="4" customWidth="1"/>
    <col min="16" max="16" width="14.83203125" style="4" customWidth="1"/>
    <col min="17" max="16384" width="8.83203125" style="4"/>
  </cols>
  <sheetData>
    <row r="1" spans="1:16" ht="6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121</v>
      </c>
      <c r="G1" s="2" t="s">
        <v>120</v>
      </c>
      <c r="H1" s="2" t="s">
        <v>5</v>
      </c>
      <c r="I1" s="2" t="s">
        <v>122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x14ac:dyDescent="0.2">
      <c r="A2" s="6" t="s">
        <v>13</v>
      </c>
      <c r="B2" s="5" t="s">
        <v>14</v>
      </c>
      <c r="C2" s="8">
        <v>1625651926</v>
      </c>
      <c r="D2" s="5">
        <f>(C2*M2)/1000000</f>
        <v>3511.4081601600005</v>
      </c>
      <c r="E2" s="5"/>
      <c r="F2" s="5">
        <v>-0.3</v>
      </c>
      <c r="G2" s="5">
        <v>12.3</v>
      </c>
      <c r="H2" s="5">
        <f>F2+G2</f>
        <v>12</v>
      </c>
      <c r="I2" s="5">
        <v>4.8</v>
      </c>
      <c r="J2" s="5">
        <f>(M2/I2)*1000</f>
        <v>450.00000000000006</v>
      </c>
      <c r="K2" s="5"/>
      <c r="L2" s="5">
        <f>(M2/H2)*100</f>
        <v>18.000000000000004</v>
      </c>
      <c r="M2" s="5">
        <v>2.16</v>
      </c>
      <c r="N2" s="5">
        <v>1.0269999999999999</v>
      </c>
      <c r="O2" s="5" t="s">
        <v>123</v>
      </c>
      <c r="P2" s="5"/>
    </row>
    <row r="3" spans="1:16" x14ac:dyDescent="0.2">
      <c r="A3" s="7" t="s">
        <v>15</v>
      </c>
      <c r="B3" s="5" t="s">
        <v>66</v>
      </c>
      <c r="C3" s="8">
        <v>180817855</v>
      </c>
      <c r="D3" s="5">
        <f t="shared" ref="D3:D55" si="0">(C3*M3)/1000000</f>
        <v>1871.4647992499999</v>
      </c>
      <c r="E3" s="5"/>
      <c r="F3" s="5">
        <v>23.97</v>
      </c>
      <c r="G3" s="5">
        <v>21.79</v>
      </c>
      <c r="H3" s="5">
        <f t="shared" ref="H3:H55" si="1">F3+G3</f>
        <v>45.76</v>
      </c>
      <c r="I3" s="5">
        <v>43.62</v>
      </c>
      <c r="J3" s="5">
        <f t="shared" ref="J3:J55" si="2">(M3/I3)*1000</f>
        <v>237.27647867950483</v>
      </c>
      <c r="K3" s="5"/>
      <c r="L3" s="5">
        <f t="shared" ref="L3:L55" si="3">(M3/H3)*100</f>
        <v>22.618006993006993</v>
      </c>
      <c r="M3" s="5">
        <v>10.35</v>
      </c>
      <c r="N3" s="5">
        <v>1.389</v>
      </c>
      <c r="O3" s="5" t="s">
        <v>124</v>
      </c>
      <c r="P3" s="5"/>
    </row>
    <row r="4" spans="1:16" x14ac:dyDescent="0.2">
      <c r="A4" s="7" t="s">
        <v>16</v>
      </c>
      <c r="B4" s="5" t="s">
        <v>67</v>
      </c>
      <c r="C4" s="8">
        <v>3078964918</v>
      </c>
      <c r="D4" s="5">
        <f t="shared" si="0"/>
        <v>68075.91433698</v>
      </c>
      <c r="E4" s="5"/>
      <c r="F4" s="5">
        <v>50.5</v>
      </c>
      <c r="G4" s="5">
        <v>39.549999999999997</v>
      </c>
      <c r="H4" s="5">
        <f t="shared" si="1"/>
        <v>90.05</v>
      </c>
      <c r="I4" s="5">
        <v>109.7</v>
      </c>
      <c r="J4" s="5">
        <f t="shared" si="2"/>
        <v>201.54968094804011</v>
      </c>
      <c r="K4" s="5"/>
      <c r="L4" s="5">
        <f t="shared" si="3"/>
        <v>24.553026096612992</v>
      </c>
      <c r="M4" s="5">
        <v>22.11</v>
      </c>
      <c r="N4" s="5">
        <v>9.8740000000000006</v>
      </c>
      <c r="O4" s="5" t="s">
        <v>125</v>
      </c>
      <c r="P4" s="5"/>
    </row>
    <row r="5" spans="1:16" x14ac:dyDescent="0.2">
      <c r="A5" s="7" t="s">
        <v>17</v>
      </c>
      <c r="B5" s="5" t="s">
        <v>68</v>
      </c>
      <c r="C5" s="8">
        <v>371216214</v>
      </c>
      <c r="D5" s="5">
        <f t="shared" si="0"/>
        <v>51402.309152580005</v>
      </c>
      <c r="E5" s="5"/>
      <c r="F5" s="5">
        <v>315.2</v>
      </c>
      <c r="G5" s="5">
        <v>296</v>
      </c>
      <c r="H5" s="5">
        <f t="shared" si="1"/>
        <v>611.20000000000005</v>
      </c>
      <c r="I5" s="5">
        <v>669.5</v>
      </c>
      <c r="J5" s="5">
        <f t="shared" si="2"/>
        <v>206.82598954443614</v>
      </c>
      <c r="K5" s="5"/>
      <c r="L5" s="5">
        <f t="shared" si="3"/>
        <v>22.655431937172775</v>
      </c>
      <c r="M5" s="5">
        <v>138.47</v>
      </c>
      <c r="N5" s="5">
        <v>54.473999999999997</v>
      </c>
      <c r="O5" s="5" t="s">
        <v>126</v>
      </c>
      <c r="P5" s="5"/>
    </row>
    <row r="6" spans="1:16" x14ac:dyDescent="0.2">
      <c r="A6" s="7" t="s">
        <v>18</v>
      </c>
      <c r="B6" s="5" t="s">
        <v>117</v>
      </c>
      <c r="C6" s="8">
        <v>282364338</v>
      </c>
      <c r="D6" s="5">
        <f t="shared" si="0"/>
        <v>7578.65883192</v>
      </c>
      <c r="E6" s="5"/>
      <c r="F6" s="5">
        <v>34.799999999999997</v>
      </c>
      <c r="G6" s="5">
        <v>46.4</v>
      </c>
      <c r="H6" s="5">
        <f t="shared" si="1"/>
        <v>81.199999999999989</v>
      </c>
      <c r="I6" s="5">
        <v>80.2</v>
      </c>
      <c r="J6" s="5">
        <f t="shared" si="2"/>
        <v>334.66334164588528</v>
      </c>
      <c r="K6" s="5"/>
      <c r="L6" s="5">
        <f t="shared" si="3"/>
        <v>33.054187192118228</v>
      </c>
      <c r="M6" s="5">
        <v>26.84</v>
      </c>
      <c r="N6" s="5">
        <v>4.6360000000000001</v>
      </c>
      <c r="O6" s="5" t="s">
        <v>127</v>
      </c>
      <c r="P6" s="5"/>
    </row>
    <row r="7" spans="1:16" x14ac:dyDescent="0.2">
      <c r="A7" s="7" t="s">
        <v>19</v>
      </c>
      <c r="B7" s="5" t="s">
        <v>116</v>
      </c>
      <c r="C7" s="8">
        <v>271760063</v>
      </c>
      <c r="D7" s="5">
        <f t="shared" si="0"/>
        <v>611.46014175000005</v>
      </c>
      <c r="E7" s="5"/>
      <c r="F7" s="5">
        <v>5.65</v>
      </c>
      <c r="G7" s="5">
        <f t="shared" ref="G7:G12" si="4">I7-F7</f>
        <v>9.4499999999999993</v>
      </c>
      <c r="H7" s="5">
        <f t="shared" si="1"/>
        <v>15.1</v>
      </c>
      <c r="I7" s="5">
        <v>15.1</v>
      </c>
      <c r="J7" s="5">
        <f t="shared" si="2"/>
        <v>149.00662251655629</v>
      </c>
      <c r="K7" s="5"/>
      <c r="L7" s="5">
        <f t="shared" si="3"/>
        <v>14.90066225165563</v>
      </c>
      <c r="M7" s="5">
        <v>2.25</v>
      </c>
      <c r="N7" s="5">
        <v>0.81699999999999995</v>
      </c>
      <c r="O7" s="5" t="s">
        <v>128</v>
      </c>
      <c r="P7" s="5"/>
    </row>
    <row r="8" spans="1:16" x14ac:dyDescent="0.2">
      <c r="A8" s="7" t="s">
        <v>20</v>
      </c>
      <c r="B8" s="5" t="s">
        <v>115</v>
      </c>
      <c r="C8" s="8">
        <v>143975904</v>
      </c>
      <c r="D8" s="5">
        <f t="shared" si="0"/>
        <v>30.954819359999998</v>
      </c>
      <c r="E8" s="5"/>
      <c r="F8" s="5">
        <v>1.27</v>
      </c>
      <c r="G8" s="5">
        <f t="shared" si="4"/>
        <v>0.24</v>
      </c>
      <c r="H8" s="5">
        <f t="shared" si="1"/>
        <v>1.51</v>
      </c>
      <c r="I8" s="5">
        <v>1.51</v>
      </c>
      <c r="J8" s="5">
        <f t="shared" si="2"/>
        <v>142.38410596026492</v>
      </c>
      <c r="K8" s="5"/>
      <c r="L8" s="5">
        <f t="shared" si="3"/>
        <v>14.23841059602649</v>
      </c>
      <c r="M8" s="5">
        <v>0.215</v>
      </c>
      <c r="N8" s="5">
        <v>0.216</v>
      </c>
      <c r="O8" s="5" t="s">
        <v>129</v>
      </c>
      <c r="P8" s="5"/>
    </row>
    <row r="9" spans="1:16" x14ac:dyDescent="0.2">
      <c r="A9" s="7" t="s">
        <v>21</v>
      </c>
      <c r="B9" s="5" t="s">
        <v>114</v>
      </c>
      <c r="C9" s="8">
        <v>202683304</v>
      </c>
      <c r="D9" s="5">
        <f t="shared" si="0"/>
        <v>857.35037592000003</v>
      </c>
      <c r="E9" s="5"/>
      <c r="F9" s="5">
        <v>5.16</v>
      </c>
      <c r="G9" s="5">
        <f t="shared" si="4"/>
        <v>11.100000000000001</v>
      </c>
      <c r="H9" s="5">
        <f t="shared" si="1"/>
        <v>16.260000000000002</v>
      </c>
      <c r="I9" s="5">
        <v>16.260000000000002</v>
      </c>
      <c r="J9" s="5">
        <f t="shared" si="2"/>
        <v>260.14760147601476</v>
      </c>
      <c r="K9" s="5"/>
      <c r="L9" s="5">
        <f t="shared" si="3"/>
        <v>26.014760147601475</v>
      </c>
      <c r="M9" s="5">
        <v>4.2300000000000004</v>
      </c>
      <c r="N9" s="5">
        <v>2.4980000000000002</v>
      </c>
      <c r="O9" s="5" t="s">
        <v>130</v>
      </c>
      <c r="P9" s="5"/>
    </row>
    <row r="10" spans="1:16" x14ac:dyDescent="0.2">
      <c r="A10" s="7" t="s">
        <v>22</v>
      </c>
      <c r="B10" s="5" t="s">
        <v>113</v>
      </c>
      <c r="C10" s="8">
        <v>193231467</v>
      </c>
      <c r="D10" s="5">
        <f t="shared" si="0"/>
        <v>3433.7231685900001</v>
      </c>
      <c r="E10" s="5"/>
      <c r="F10" s="5">
        <v>4.9000000000000004</v>
      </c>
      <c r="G10" s="5">
        <f t="shared" si="4"/>
        <v>5</v>
      </c>
      <c r="H10" s="5">
        <f t="shared" si="1"/>
        <v>9.9</v>
      </c>
      <c r="I10" s="5">
        <v>9.9</v>
      </c>
      <c r="J10" s="5">
        <f t="shared" si="2"/>
        <v>1794.9494949494949</v>
      </c>
      <c r="K10" s="5"/>
      <c r="L10" s="5">
        <f t="shared" si="3"/>
        <v>179.49494949494948</v>
      </c>
      <c r="M10" s="5">
        <v>17.77</v>
      </c>
      <c r="N10" s="5">
        <v>13.387</v>
      </c>
      <c r="O10" s="5" t="s">
        <v>131</v>
      </c>
      <c r="P10" s="5"/>
    </row>
    <row r="11" spans="1:16" x14ac:dyDescent="0.2">
      <c r="A11" s="7" t="s">
        <v>23</v>
      </c>
      <c r="B11" s="5" t="s">
        <v>112</v>
      </c>
      <c r="C11" s="8">
        <v>193858902</v>
      </c>
      <c r="D11" s="5">
        <f t="shared" si="0"/>
        <v>550.55928167999991</v>
      </c>
      <c r="E11" s="5"/>
      <c r="F11" s="5">
        <v>5.83</v>
      </c>
      <c r="G11" s="5">
        <f t="shared" si="4"/>
        <v>11.319999999999999</v>
      </c>
      <c r="H11" s="5">
        <f t="shared" si="1"/>
        <v>17.149999999999999</v>
      </c>
      <c r="I11" s="5">
        <v>17.149999999999999</v>
      </c>
      <c r="J11" s="5">
        <f t="shared" si="2"/>
        <v>165.59766763848395</v>
      </c>
      <c r="K11" s="5"/>
      <c r="L11" s="5">
        <f t="shared" si="3"/>
        <v>16.559766763848398</v>
      </c>
      <c r="M11" s="5">
        <v>2.84</v>
      </c>
      <c r="N11" s="5">
        <v>0.88100000000000001</v>
      </c>
      <c r="O11" s="5" t="s">
        <v>132</v>
      </c>
      <c r="P11" s="5"/>
    </row>
    <row r="12" spans="1:16" x14ac:dyDescent="0.2">
      <c r="A12" s="7" t="s">
        <v>24</v>
      </c>
      <c r="B12" s="5" t="s">
        <v>111</v>
      </c>
      <c r="C12" s="8">
        <v>1238809557</v>
      </c>
      <c r="D12" s="5">
        <f t="shared" si="0"/>
        <v>2663.4405475499998</v>
      </c>
      <c r="E12" s="5"/>
      <c r="F12" s="5">
        <v>67.7</v>
      </c>
      <c r="G12" s="5">
        <f t="shared" si="4"/>
        <v>-56.300000000000004</v>
      </c>
      <c r="H12" s="5">
        <f t="shared" si="1"/>
        <v>11.399999999999999</v>
      </c>
      <c r="I12" s="5">
        <v>11.4</v>
      </c>
      <c r="J12" s="5">
        <f t="shared" si="2"/>
        <v>188.59649122807016</v>
      </c>
      <c r="K12" s="5"/>
      <c r="L12" s="5">
        <f t="shared" si="3"/>
        <v>18.859649122807017</v>
      </c>
      <c r="M12" s="5">
        <v>2.15</v>
      </c>
      <c r="N12" s="5">
        <v>2.3380000000000001</v>
      </c>
      <c r="O12" s="5" t="s">
        <v>133</v>
      </c>
      <c r="P12" s="5"/>
    </row>
    <row r="13" spans="1:16" x14ac:dyDescent="0.2">
      <c r="A13" s="7" t="s">
        <v>25</v>
      </c>
      <c r="B13" s="5" t="s">
        <v>110</v>
      </c>
      <c r="C13" s="8">
        <v>272486063</v>
      </c>
      <c r="D13" s="5">
        <f t="shared" si="0"/>
        <v>1588.59374729</v>
      </c>
      <c r="E13" s="5"/>
      <c r="F13" s="5">
        <f>I13-32.8</f>
        <v>47.400000000000006</v>
      </c>
      <c r="G13" s="5">
        <v>49.1</v>
      </c>
      <c r="H13" s="5">
        <f t="shared" si="1"/>
        <v>96.5</v>
      </c>
      <c r="I13" s="5">
        <v>80.2</v>
      </c>
      <c r="J13" s="5">
        <f t="shared" si="2"/>
        <v>72.693266832917701</v>
      </c>
      <c r="K13" s="5"/>
      <c r="L13" s="5">
        <f t="shared" si="3"/>
        <v>6.0414507772020727</v>
      </c>
      <c r="M13" s="5">
        <v>5.83</v>
      </c>
      <c r="N13" s="5">
        <v>3.75</v>
      </c>
      <c r="O13" s="5" t="s">
        <v>134</v>
      </c>
      <c r="P13" s="5"/>
    </row>
    <row r="14" spans="1:16" x14ac:dyDescent="0.2">
      <c r="A14" s="7" t="s">
        <v>26</v>
      </c>
      <c r="B14" s="5" t="s">
        <v>109</v>
      </c>
      <c r="C14" s="8">
        <v>364566966</v>
      </c>
      <c r="D14" s="5">
        <f t="shared" si="0"/>
        <v>238.79136273000003</v>
      </c>
      <c r="E14" s="5"/>
      <c r="F14" s="5">
        <v>4.7</v>
      </c>
      <c r="G14" s="5">
        <f t="shared" ref="G14:G24" si="5">I14-F14</f>
        <v>0.79999999999999982</v>
      </c>
      <c r="H14" s="5">
        <f t="shared" si="1"/>
        <v>5.5</v>
      </c>
      <c r="I14" s="5">
        <v>5.5</v>
      </c>
      <c r="J14" s="5" t="e">
        <f>(M14/#REF!)*1000</f>
        <v>#REF!</v>
      </c>
      <c r="K14" s="5"/>
      <c r="L14" s="5">
        <f t="shared" si="3"/>
        <v>11.90909090909091</v>
      </c>
      <c r="M14" s="5">
        <v>0.65500000000000003</v>
      </c>
      <c r="N14" s="5">
        <v>0.42599999999999999</v>
      </c>
      <c r="O14" s="5" t="s">
        <v>135</v>
      </c>
      <c r="P14" s="5"/>
    </row>
    <row r="15" spans="1:16" x14ac:dyDescent="0.2">
      <c r="A15" s="7" t="s">
        <v>27</v>
      </c>
      <c r="B15" s="5" t="s">
        <v>108</v>
      </c>
      <c r="C15" s="8">
        <v>284637642</v>
      </c>
      <c r="D15" s="5">
        <f t="shared" si="0"/>
        <v>25.617387779999998</v>
      </c>
      <c r="E15" s="5"/>
      <c r="F15" s="5">
        <v>0.34</v>
      </c>
      <c r="G15" s="5">
        <f t="shared" si="5"/>
        <v>1.48</v>
      </c>
      <c r="H15" s="5">
        <f t="shared" si="1"/>
        <v>1.82</v>
      </c>
      <c r="I15" s="5">
        <v>1.82</v>
      </c>
      <c r="J15" s="5">
        <f t="shared" si="2"/>
        <v>49.450549450549445</v>
      </c>
      <c r="K15" s="5"/>
      <c r="L15" s="5">
        <f t="shared" si="3"/>
        <v>4.9450549450549453</v>
      </c>
      <c r="M15" s="5">
        <v>0.09</v>
      </c>
      <c r="N15" s="5">
        <v>0.317</v>
      </c>
      <c r="O15" s="5" t="s">
        <v>136</v>
      </c>
      <c r="P15" s="5"/>
    </row>
    <row r="16" spans="1:16" x14ac:dyDescent="0.2">
      <c r="A16" s="7" t="s">
        <v>28</v>
      </c>
      <c r="B16" s="5" t="s">
        <v>107</v>
      </c>
      <c r="C16" s="8">
        <v>213511751</v>
      </c>
      <c r="D16" s="5">
        <f t="shared" si="0"/>
        <v>1509.5280795700003</v>
      </c>
      <c r="E16" s="5"/>
      <c r="F16" s="5">
        <v>18.8</v>
      </c>
      <c r="G16" s="5">
        <f t="shared" si="5"/>
        <v>8.3999999999999986</v>
      </c>
      <c r="H16" s="5">
        <f t="shared" si="1"/>
        <v>27.2</v>
      </c>
      <c r="I16" s="5">
        <v>27.2</v>
      </c>
      <c r="J16" s="5">
        <f t="shared" si="2"/>
        <v>259.9264705882353</v>
      </c>
      <c r="K16" s="5"/>
      <c r="L16" s="5">
        <f t="shared" si="3"/>
        <v>25.992647058823533</v>
      </c>
      <c r="M16" s="5">
        <v>7.07</v>
      </c>
      <c r="N16" s="5">
        <v>5.0609999999999999</v>
      </c>
      <c r="O16" s="5" t="s">
        <v>137</v>
      </c>
      <c r="P16" s="5"/>
    </row>
    <row r="17" spans="1:16" x14ac:dyDescent="0.2">
      <c r="A17" s="7" t="s">
        <v>29</v>
      </c>
      <c r="B17" s="5" t="s">
        <v>106</v>
      </c>
      <c r="C17" s="8">
        <v>222300683</v>
      </c>
      <c r="D17" s="5">
        <f t="shared" si="0"/>
        <v>1858.4337098799999</v>
      </c>
      <c r="E17" s="5"/>
      <c r="F17" s="5">
        <v>26.2</v>
      </c>
      <c r="G17" s="5">
        <f t="shared" si="5"/>
        <v>-8</v>
      </c>
      <c r="H17" s="5">
        <f t="shared" si="1"/>
        <v>18.2</v>
      </c>
      <c r="I17" s="5">
        <v>18.2</v>
      </c>
      <c r="J17" s="5">
        <f t="shared" si="2"/>
        <v>459.34065934065933</v>
      </c>
      <c r="K17" s="5"/>
      <c r="L17" s="5">
        <f t="shared" si="3"/>
        <v>45.934065934065934</v>
      </c>
      <c r="M17" s="5">
        <v>8.36</v>
      </c>
      <c r="N17" s="5">
        <v>6.3049999999999997</v>
      </c>
      <c r="O17" s="5" t="s">
        <v>138</v>
      </c>
      <c r="P17" s="5"/>
    </row>
    <row r="18" spans="1:16" x14ac:dyDescent="0.2">
      <c r="A18" s="7" t="s">
        <v>30</v>
      </c>
      <c r="B18" s="5" t="s">
        <v>105</v>
      </c>
      <c r="C18" s="8">
        <v>68152321</v>
      </c>
      <c r="D18" s="5">
        <f t="shared" si="0"/>
        <v>1099.9784609400001</v>
      </c>
      <c r="E18" s="5"/>
      <c r="F18" s="5">
        <v>47.2</v>
      </c>
      <c r="G18" s="5">
        <f t="shared" si="5"/>
        <v>55.7</v>
      </c>
      <c r="H18" s="5">
        <f t="shared" si="1"/>
        <v>102.9</v>
      </c>
      <c r="I18" s="5">
        <v>102.9</v>
      </c>
      <c r="J18" s="5">
        <f t="shared" si="2"/>
        <v>156.85131195335279</v>
      </c>
      <c r="K18" s="5"/>
      <c r="L18" s="5">
        <f t="shared" si="3"/>
        <v>15.685131195335277</v>
      </c>
      <c r="M18" s="5">
        <v>16.14</v>
      </c>
      <c r="N18" s="5">
        <v>8.91</v>
      </c>
      <c r="O18" s="5" t="s">
        <v>139</v>
      </c>
      <c r="P18" s="5"/>
    </row>
    <row r="19" spans="1:16" x14ac:dyDescent="0.2">
      <c r="A19" s="7" t="s">
        <v>31</v>
      </c>
      <c r="B19" s="5" t="s">
        <v>104</v>
      </c>
      <c r="C19" s="8">
        <v>172256068</v>
      </c>
      <c r="D19" s="5">
        <f t="shared" si="0"/>
        <v>302.30939933999997</v>
      </c>
      <c r="E19" s="5"/>
      <c r="F19" s="5">
        <v>2.1</v>
      </c>
      <c r="G19" s="5">
        <f t="shared" si="5"/>
        <v>4.93</v>
      </c>
      <c r="H19" s="5">
        <f t="shared" si="1"/>
        <v>7.0299999999999994</v>
      </c>
      <c r="I19" s="5">
        <v>7.03</v>
      </c>
      <c r="J19" s="5">
        <f t="shared" si="2"/>
        <v>249.64438122332857</v>
      </c>
      <c r="K19" s="5"/>
      <c r="L19" s="5">
        <f t="shared" si="3"/>
        <v>24.964438122332862</v>
      </c>
      <c r="M19" s="5">
        <v>1.7549999999999999</v>
      </c>
      <c r="N19" s="5">
        <v>3</v>
      </c>
      <c r="O19" s="5" t="s">
        <v>140</v>
      </c>
      <c r="P19" s="5"/>
    </row>
    <row r="20" spans="1:16" x14ac:dyDescent="0.2">
      <c r="A20" s="7" t="s">
        <v>32</v>
      </c>
      <c r="B20" s="5" t="s">
        <v>103</v>
      </c>
      <c r="C20" s="8">
        <v>3219659436</v>
      </c>
      <c r="D20" s="5">
        <f t="shared" si="0"/>
        <v>13104.013904520001</v>
      </c>
      <c r="E20" s="5"/>
      <c r="F20" s="5">
        <v>2.2999999999999998</v>
      </c>
      <c r="G20" s="5">
        <f t="shared" si="5"/>
        <v>4.03</v>
      </c>
      <c r="H20" s="5">
        <f t="shared" si="1"/>
        <v>6.33</v>
      </c>
      <c r="I20" s="5">
        <v>6.33</v>
      </c>
      <c r="J20" s="5">
        <f t="shared" si="2"/>
        <v>642.96998420221178</v>
      </c>
      <c r="K20" s="5"/>
      <c r="L20" s="5">
        <f t="shared" si="3"/>
        <v>64.296998420221172</v>
      </c>
      <c r="M20" s="5">
        <v>4.07</v>
      </c>
      <c r="N20" s="5">
        <v>1.097</v>
      </c>
      <c r="O20" s="5" t="s">
        <v>141</v>
      </c>
      <c r="P20" s="5"/>
    </row>
    <row r="21" spans="1:16" x14ac:dyDescent="0.2">
      <c r="A21" s="7" t="s">
        <v>33</v>
      </c>
      <c r="B21" s="5" t="s">
        <v>102</v>
      </c>
      <c r="C21" s="8">
        <v>99939970</v>
      </c>
      <c r="D21" s="5">
        <f t="shared" si="0"/>
        <v>337.79709859999997</v>
      </c>
      <c r="E21" s="5"/>
      <c r="F21" s="5">
        <v>0.1</v>
      </c>
      <c r="G21" s="5">
        <f t="shared" si="5"/>
        <v>0.29000000000000004</v>
      </c>
      <c r="H21" s="5">
        <f t="shared" si="1"/>
        <v>0.39</v>
      </c>
      <c r="I21" s="5">
        <v>0.39</v>
      </c>
      <c r="J21" s="5">
        <f t="shared" si="2"/>
        <v>8666.6666666666661</v>
      </c>
      <c r="K21" s="5"/>
      <c r="L21" s="5">
        <f t="shared" si="3"/>
        <v>866.66666666666663</v>
      </c>
      <c r="M21" s="5">
        <v>3.38</v>
      </c>
      <c r="N21" s="5">
        <v>0.60599999999999998</v>
      </c>
      <c r="O21" s="5" t="s">
        <v>142</v>
      </c>
      <c r="P21" s="5"/>
    </row>
    <row r="22" spans="1:16" x14ac:dyDescent="0.2">
      <c r="A22" s="7" t="s">
        <v>34</v>
      </c>
      <c r="B22" s="5" t="s">
        <v>101</v>
      </c>
      <c r="C22" s="8">
        <v>711667484</v>
      </c>
      <c r="D22" s="5">
        <f t="shared" si="0"/>
        <v>170.80019615999998</v>
      </c>
      <c r="E22" s="5"/>
      <c r="F22" s="5">
        <v>3</v>
      </c>
      <c r="G22" s="5">
        <f t="shared" si="5"/>
        <v>10.4</v>
      </c>
      <c r="H22" s="5">
        <f t="shared" si="1"/>
        <v>13.4</v>
      </c>
      <c r="I22" s="5">
        <v>13.4</v>
      </c>
      <c r="J22" s="5">
        <f t="shared" si="2"/>
        <v>17.910447761194028</v>
      </c>
      <c r="K22" s="5"/>
      <c r="L22" s="5">
        <f t="shared" si="3"/>
        <v>1.7910447761194028</v>
      </c>
      <c r="M22" s="5">
        <v>0.24</v>
      </c>
      <c r="N22" s="5">
        <v>0.84</v>
      </c>
      <c r="O22" s="5" t="s">
        <v>143</v>
      </c>
      <c r="P22" s="5"/>
    </row>
    <row r="23" spans="1:16" x14ac:dyDescent="0.2">
      <c r="A23" s="7" t="s">
        <v>36</v>
      </c>
      <c r="B23" s="5" t="s">
        <v>100</v>
      </c>
      <c r="C23" s="8">
        <v>601185674</v>
      </c>
      <c r="D23" s="5">
        <f t="shared" si="0"/>
        <v>553.09082008000007</v>
      </c>
      <c r="E23" s="5"/>
      <c r="F23" s="5">
        <v>8.35</v>
      </c>
      <c r="G23" s="5">
        <f t="shared" si="5"/>
        <v>1.7699999999999996</v>
      </c>
      <c r="H23" s="5">
        <f t="shared" si="1"/>
        <v>10.119999999999999</v>
      </c>
      <c r="I23" s="5">
        <v>10.119999999999999</v>
      </c>
      <c r="J23" s="5">
        <f t="shared" si="2"/>
        <v>90.909090909090921</v>
      </c>
      <c r="K23" s="5"/>
      <c r="L23" s="5">
        <f t="shared" si="3"/>
        <v>9.0909090909090917</v>
      </c>
      <c r="M23" s="5">
        <v>0.92</v>
      </c>
      <c r="N23" s="5">
        <v>0.79</v>
      </c>
      <c r="O23" s="5" t="s">
        <v>144</v>
      </c>
      <c r="P23" s="5"/>
    </row>
    <row r="24" spans="1:16" x14ac:dyDescent="0.2">
      <c r="A24" s="7" t="s">
        <v>37</v>
      </c>
      <c r="B24" s="5" t="s">
        <v>99</v>
      </c>
      <c r="C24" s="8">
        <v>1673462358</v>
      </c>
      <c r="D24" s="5">
        <f t="shared" si="0"/>
        <v>255604.64056092</v>
      </c>
      <c r="E24" s="5"/>
      <c r="F24" s="5">
        <v>307</v>
      </c>
      <c r="G24" s="5">
        <f t="shared" si="5"/>
        <v>306.20000000000005</v>
      </c>
      <c r="H24" s="5">
        <f t="shared" si="1"/>
        <v>613.20000000000005</v>
      </c>
      <c r="I24" s="5">
        <v>613.20000000000005</v>
      </c>
      <c r="J24" s="5">
        <f t="shared" si="2"/>
        <v>249.08675799086757</v>
      </c>
      <c r="K24" s="5"/>
      <c r="L24" s="5">
        <f t="shared" si="3"/>
        <v>24.908675799086758</v>
      </c>
      <c r="M24" s="5">
        <v>152.74</v>
      </c>
      <c r="N24" s="5">
        <v>47.119</v>
      </c>
      <c r="O24" s="5" t="s">
        <v>145</v>
      </c>
      <c r="P24" s="5"/>
    </row>
    <row r="25" spans="1:16" x14ac:dyDescent="0.2">
      <c r="A25" s="7" t="s">
        <v>38</v>
      </c>
      <c r="B25" s="5" t="s">
        <v>98</v>
      </c>
      <c r="C25" s="8">
        <v>3420353305</v>
      </c>
      <c r="D25" s="5">
        <f t="shared" si="0"/>
        <v>130862.71744929999</v>
      </c>
      <c r="E25" s="5"/>
      <c r="F25" s="5">
        <v>101</v>
      </c>
      <c r="G25" s="5">
        <f>I25-95.6</f>
        <v>105.30000000000001</v>
      </c>
      <c r="H25" s="5">
        <f t="shared" si="1"/>
        <v>206.3</v>
      </c>
      <c r="I25" s="5">
        <v>200.9</v>
      </c>
      <c r="J25" s="5">
        <f t="shared" si="2"/>
        <v>190.44300647088102</v>
      </c>
      <c r="K25" s="5"/>
      <c r="L25" s="5">
        <f t="shared" si="3"/>
        <v>18.545807077072222</v>
      </c>
      <c r="M25" s="5">
        <v>38.26</v>
      </c>
      <c r="N25" s="5">
        <v>21.311</v>
      </c>
      <c r="O25" s="5" t="s">
        <v>146</v>
      </c>
      <c r="P25" s="5"/>
    </row>
    <row r="26" spans="1:16" x14ac:dyDescent="0.2">
      <c r="A26" s="7" t="s">
        <v>39</v>
      </c>
      <c r="B26" s="5" t="s">
        <v>97</v>
      </c>
      <c r="C26" s="8">
        <v>3064015943</v>
      </c>
      <c r="D26" s="5">
        <f t="shared" si="0"/>
        <v>126788.97972134002</v>
      </c>
      <c r="E26" s="5"/>
      <c r="F26" s="5">
        <v>116.9</v>
      </c>
      <c r="G26" s="5">
        <f>I26-F26</f>
        <v>105</v>
      </c>
      <c r="H26" s="5">
        <f t="shared" si="1"/>
        <v>221.9</v>
      </c>
      <c r="I26" s="5">
        <v>221.9</v>
      </c>
      <c r="J26" s="5">
        <f t="shared" si="2"/>
        <v>186.48039657503381</v>
      </c>
      <c r="K26" s="5"/>
      <c r="L26" s="5">
        <f t="shared" si="3"/>
        <v>18.648039657503382</v>
      </c>
      <c r="M26" s="5">
        <v>41.38</v>
      </c>
      <c r="N26" s="5">
        <v>20.593</v>
      </c>
      <c r="O26" s="5" t="s">
        <v>147</v>
      </c>
      <c r="P26" s="5"/>
    </row>
    <row r="27" spans="1:16" x14ac:dyDescent="0.2">
      <c r="A27" s="7" t="s">
        <v>40</v>
      </c>
      <c r="B27" s="5" t="s">
        <v>96</v>
      </c>
      <c r="C27" s="8">
        <v>381138415</v>
      </c>
      <c r="D27" s="5">
        <f t="shared" si="0"/>
        <v>74836.52778525</v>
      </c>
      <c r="E27" s="5"/>
      <c r="F27" s="4">
        <f>I27-424.6</f>
        <v>554.79999999999995</v>
      </c>
      <c r="G27" s="5">
        <v>436.7</v>
      </c>
      <c r="H27" s="5">
        <f t="shared" si="1"/>
        <v>991.5</v>
      </c>
      <c r="I27" s="5">
        <v>979.4</v>
      </c>
      <c r="J27" s="5">
        <f>(M27/G27)*1000</f>
        <v>449.62216624685135</v>
      </c>
      <c r="K27" s="5"/>
      <c r="L27" s="5">
        <f t="shared" si="3"/>
        <v>19.803328290468986</v>
      </c>
      <c r="M27" s="5">
        <v>196.35</v>
      </c>
      <c r="N27" s="5">
        <v>90.677999999999997</v>
      </c>
      <c r="O27" s="5" t="s">
        <v>148</v>
      </c>
      <c r="P27" s="5"/>
    </row>
    <row r="28" spans="1:16" x14ac:dyDescent="0.2">
      <c r="A28" s="7" t="s">
        <v>41</v>
      </c>
      <c r="B28" s="5" t="s">
        <v>95</v>
      </c>
      <c r="C28" s="8">
        <v>1510196921</v>
      </c>
      <c r="D28" s="5">
        <f t="shared" si="0"/>
        <v>28920.271037149996</v>
      </c>
      <c r="E28" s="5"/>
      <c r="F28" s="5">
        <v>66.099999999999994</v>
      </c>
      <c r="G28" s="5">
        <f>I28-51.9</f>
        <v>63.300000000000004</v>
      </c>
      <c r="H28" s="5">
        <f t="shared" si="1"/>
        <v>129.4</v>
      </c>
      <c r="I28" s="5">
        <v>115.2</v>
      </c>
      <c r="J28" s="5">
        <f t="shared" si="2"/>
        <v>166.23263888888886</v>
      </c>
      <c r="K28" s="5"/>
      <c r="L28" s="5">
        <f t="shared" si="3"/>
        <v>14.799072642967539</v>
      </c>
      <c r="M28" s="5">
        <v>19.149999999999999</v>
      </c>
      <c r="N28" s="5">
        <v>10.866</v>
      </c>
      <c r="O28" s="5" t="s">
        <v>149</v>
      </c>
      <c r="P28" s="5"/>
    </row>
    <row r="29" spans="1:16" x14ac:dyDescent="0.2">
      <c r="A29" s="7" t="s">
        <v>42</v>
      </c>
      <c r="B29" s="5" t="s">
        <v>94</v>
      </c>
      <c r="C29" s="8">
        <v>1082967555</v>
      </c>
      <c r="D29" s="5">
        <f t="shared" si="0"/>
        <v>18486.256163849997</v>
      </c>
      <c r="E29" s="5"/>
      <c r="F29" s="5">
        <v>86.56</v>
      </c>
      <c r="G29" s="8">
        <f>I29-F29</f>
        <v>1473.44</v>
      </c>
      <c r="H29" s="5">
        <f t="shared" si="1"/>
        <v>1560</v>
      </c>
      <c r="I29" s="8">
        <v>1560</v>
      </c>
      <c r="J29" s="5">
        <f t="shared" si="2"/>
        <v>10.942307692307692</v>
      </c>
      <c r="K29" s="5"/>
      <c r="L29" s="5">
        <f t="shared" si="3"/>
        <v>1.0942307692307691</v>
      </c>
      <c r="M29" s="5">
        <v>17.07</v>
      </c>
      <c r="N29" s="5">
        <v>9.766</v>
      </c>
      <c r="O29" s="5" t="s">
        <v>150</v>
      </c>
      <c r="P29" s="5"/>
    </row>
    <row r="30" spans="1:16" x14ac:dyDescent="0.2">
      <c r="A30" s="7" t="s">
        <v>118</v>
      </c>
      <c r="B30" s="5" t="s">
        <v>119</v>
      </c>
      <c r="C30" s="8">
        <v>2365283816</v>
      </c>
      <c r="D30" s="5">
        <f t="shared" si="0"/>
        <v>18330.949573999998</v>
      </c>
      <c r="E30" s="5"/>
      <c r="F30" s="5">
        <v>32.880000000000003</v>
      </c>
      <c r="G30" s="5">
        <v>24.59</v>
      </c>
      <c r="H30" s="5">
        <f t="shared" si="1"/>
        <v>57.47</v>
      </c>
      <c r="I30" s="5">
        <v>57.49</v>
      </c>
      <c r="J30" s="5">
        <f t="shared" si="2"/>
        <v>134.80605322664809</v>
      </c>
      <c r="K30" s="5"/>
      <c r="L30" s="5">
        <f t="shared" si="3"/>
        <v>13.485296676526884</v>
      </c>
      <c r="M30" s="5">
        <v>7.75</v>
      </c>
      <c r="N30" s="5">
        <v>3.0990000000000002</v>
      </c>
      <c r="O30" s="5" t="s">
        <v>151</v>
      </c>
      <c r="P30" s="5"/>
    </row>
    <row r="31" spans="1:16" x14ac:dyDescent="0.2">
      <c r="A31" s="7" t="s">
        <v>43</v>
      </c>
      <c r="B31" s="5" t="s">
        <v>93</v>
      </c>
      <c r="C31" s="8">
        <v>567991670</v>
      </c>
      <c r="D31" s="5">
        <f t="shared" si="0"/>
        <v>5912.7932847000002</v>
      </c>
      <c r="E31" s="5"/>
      <c r="F31" s="5">
        <v>38.299999999999997</v>
      </c>
      <c r="G31" s="5">
        <f>I31-F31</f>
        <v>-21.099999999999998</v>
      </c>
      <c r="H31" s="5">
        <f t="shared" si="1"/>
        <v>17.2</v>
      </c>
      <c r="I31" s="5">
        <v>17.2</v>
      </c>
      <c r="J31" s="5">
        <f t="shared" si="2"/>
        <v>605.23255813953494</v>
      </c>
      <c r="K31" s="5"/>
      <c r="L31" s="5">
        <f t="shared" si="3"/>
        <v>60.52325581395349</v>
      </c>
      <c r="M31" s="5">
        <v>10.41</v>
      </c>
      <c r="N31" s="5">
        <v>11.83</v>
      </c>
      <c r="O31" s="5" t="s">
        <v>152</v>
      </c>
      <c r="P31" s="5"/>
    </row>
    <row r="32" spans="1:16" x14ac:dyDescent="0.2">
      <c r="A32" s="7" t="s">
        <v>44</v>
      </c>
      <c r="B32" s="5" t="s">
        <v>92</v>
      </c>
      <c r="C32" s="8">
        <v>2985860501</v>
      </c>
      <c r="D32" s="5">
        <f t="shared" si="0"/>
        <v>105669.60313038999</v>
      </c>
      <c r="E32" s="5"/>
      <c r="F32" s="5">
        <v>122.5</v>
      </c>
      <c r="G32" s="5">
        <f>I32-F32</f>
        <v>72.199999999999989</v>
      </c>
      <c r="H32" s="5">
        <f t="shared" si="1"/>
        <v>194.7</v>
      </c>
      <c r="I32" s="5">
        <v>194.7</v>
      </c>
      <c r="J32" s="5">
        <f t="shared" si="2"/>
        <v>181.76682074987161</v>
      </c>
      <c r="K32" s="5"/>
      <c r="L32" s="5">
        <f t="shared" si="3"/>
        <v>18.176682074987159</v>
      </c>
      <c r="M32" s="5">
        <v>35.39</v>
      </c>
      <c r="N32" s="5">
        <v>23.838000000000001</v>
      </c>
      <c r="O32" s="5" t="s">
        <v>153</v>
      </c>
      <c r="P32" s="5"/>
    </row>
    <row r="33" spans="1:16" x14ac:dyDescent="0.2">
      <c r="A33" s="7" t="s">
        <v>45</v>
      </c>
      <c r="B33" s="5" t="s">
        <v>91</v>
      </c>
      <c r="C33" s="8">
        <v>661469455</v>
      </c>
      <c r="D33" s="5">
        <f t="shared" si="0"/>
        <v>4266.4779847500004</v>
      </c>
      <c r="E33" s="5"/>
      <c r="F33">
        <v>26</v>
      </c>
      <c r="G33" s="5">
        <v>27.9</v>
      </c>
      <c r="H33" s="5">
        <f t="shared" si="1"/>
        <v>53.9</v>
      </c>
      <c r="I33" s="5">
        <v>58.3</v>
      </c>
      <c r="J33" s="5">
        <f t="shared" si="2"/>
        <v>110.63464837049744</v>
      </c>
      <c r="K33" s="5"/>
      <c r="L33" s="5">
        <f t="shared" si="3"/>
        <v>11.966604823747682</v>
      </c>
      <c r="M33" s="5">
        <v>6.45</v>
      </c>
      <c r="N33" s="5">
        <v>8.984</v>
      </c>
      <c r="O33" s="5" t="s">
        <v>154</v>
      </c>
      <c r="P33" s="5"/>
    </row>
    <row r="34" spans="1:16" x14ac:dyDescent="0.2">
      <c r="A34" s="7" t="s">
        <v>46</v>
      </c>
      <c r="B34" s="5" t="s">
        <v>90</v>
      </c>
      <c r="C34" s="8">
        <v>189935562</v>
      </c>
      <c r="D34" s="5">
        <f t="shared" si="0"/>
        <v>336.18594474000002</v>
      </c>
      <c r="E34" s="5"/>
      <c r="F34" s="5">
        <v>8.1999999999999993</v>
      </c>
      <c r="G34" s="5">
        <f t="shared" ref="G34:G44" si="6">I34-F34</f>
        <v>7.2800000000000011</v>
      </c>
      <c r="H34" s="5">
        <f t="shared" si="1"/>
        <v>15.48</v>
      </c>
      <c r="I34" s="5">
        <v>15.48</v>
      </c>
      <c r="J34" s="5">
        <f t="shared" si="2"/>
        <v>114.34108527131782</v>
      </c>
      <c r="K34" s="5"/>
      <c r="L34" s="5">
        <f t="shared" si="3"/>
        <v>11.434108527131782</v>
      </c>
      <c r="M34" s="5">
        <v>1.77</v>
      </c>
      <c r="N34" s="5">
        <v>1.8620000000000001</v>
      </c>
      <c r="O34" s="5" t="s">
        <v>155</v>
      </c>
      <c r="P34" s="5"/>
    </row>
    <row r="35" spans="1:16" x14ac:dyDescent="0.2">
      <c r="A35" s="7" t="s">
        <v>47</v>
      </c>
      <c r="B35" s="5" t="s">
        <v>89</v>
      </c>
      <c r="C35" s="8">
        <v>1342138540</v>
      </c>
      <c r="D35" s="5">
        <f t="shared" si="0"/>
        <v>29312.305713599999</v>
      </c>
      <c r="E35" s="5"/>
      <c r="F35" s="5">
        <v>43.1</v>
      </c>
      <c r="G35" s="5">
        <f t="shared" si="6"/>
        <v>37.699999999999996</v>
      </c>
      <c r="H35" s="5">
        <f t="shared" si="1"/>
        <v>80.8</v>
      </c>
      <c r="I35" s="5">
        <v>80.8</v>
      </c>
      <c r="J35" s="5">
        <f t="shared" si="2"/>
        <v>270.29702970297029</v>
      </c>
      <c r="K35" s="5"/>
      <c r="L35" s="5">
        <f t="shared" si="3"/>
        <v>27.029702970297031</v>
      </c>
      <c r="M35" s="5">
        <v>21.84</v>
      </c>
      <c r="N35" s="5">
        <v>2.8359999999999999</v>
      </c>
      <c r="O35" s="5" t="s">
        <v>156</v>
      </c>
      <c r="P35" s="5"/>
    </row>
    <row r="36" spans="1:16" x14ac:dyDescent="0.2">
      <c r="A36" s="7" t="s">
        <v>48</v>
      </c>
      <c r="B36" s="5" t="s">
        <v>88</v>
      </c>
      <c r="C36" s="8">
        <v>725426194</v>
      </c>
      <c r="D36" s="5">
        <f t="shared" si="0"/>
        <v>6354.7334594399999</v>
      </c>
      <c r="E36" s="5"/>
      <c r="F36" s="5">
        <v>12.68</v>
      </c>
      <c r="G36" s="5">
        <f t="shared" si="6"/>
        <v>15.32</v>
      </c>
      <c r="H36" s="5">
        <f t="shared" si="1"/>
        <v>28</v>
      </c>
      <c r="I36" s="5">
        <v>28</v>
      </c>
      <c r="J36" s="5">
        <f t="shared" si="2"/>
        <v>312.85714285714283</v>
      </c>
      <c r="K36" s="5"/>
      <c r="L36" s="5">
        <f t="shared" si="3"/>
        <v>31.285714285714285</v>
      </c>
      <c r="M36" s="5">
        <v>8.76</v>
      </c>
      <c r="N36" s="5">
        <v>1.7430000000000001</v>
      </c>
      <c r="O36" s="5" t="s">
        <v>157</v>
      </c>
      <c r="P36" s="5"/>
    </row>
    <row r="37" spans="1:16" x14ac:dyDescent="0.2">
      <c r="A37" s="7" t="s">
        <v>49</v>
      </c>
      <c r="B37" s="5" t="s">
        <v>87</v>
      </c>
      <c r="C37" s="8">
        <v>305377396</v>
      </c>
      <c r="D37" s="5">
        <f t="shared" si="0"/>
        <v>1798.6728624399998</v>
      </c>
      <c r="E37" s="5"/>
      <c r="F37" s="5">
        <v>9.9</v>
      </c>
      <c r="G37" s="5">
        <f t="shared" si="6"/>
        <v>6.7000000000000011</v>
      </c>
      <c r="H37" s="5">
        <f t="shared" si="1"/>
        <v>16.600000000000001</v>
      </c>
      <c r="I37" s="5">
        <v>16.600000000000001</v>
      </c>
      <c r="J37" s="5">
        <f t="shared" si="2"/>
        <v>354.81927710843371</v>
      </c>
      <c r="K37" s="5"/>
      <c r="L37" s="5">
        <f t="shared" si="3"/>
        <v>35.481927710843372</v>
      </c>
      <c r="M37" s="5">
        <v>5.89</v>
      </c>
      <c r="N37" s="5">
        <v>3.21</v>
      </c>
      <c r="O37" s="5" t="s">
        <v>158</v>
      </c>
      <c r="P37" s="5"/>
    </row>
    <row r="38" spans="1:16" x14ac:dyDescent="0.2">
      <c r="A38" s="7" t="s">
        <v>50</v>
      </c>
      <c r="B38" s="5" t="s">
        <v>86</v>
      </c>
      <c r="C38" s="8">
        <v>170459499</v>
      </c>
      <c r="D38" s="5">
        <f t="shared" si="0"/>
        <v>7.6706774549999999</v>
      </c>
      <c r="E38" s="5"/>
      <c r="F38" s="5">
        <v>2.0699999999999998</v>
      </c>
      <c r="G38" s="5">
        <f t="shared" si="6"/>
        <v>0.43000000000000016</v>
      </c>
      <c r="H38" s="5">
        <f t="shared" si="1"/>
        <v>2.5</v>
      </c>
      <c r="I38" s="5">
        <v>2.5</v>
      </c>
      <c r="J38" s="5" t="e">
        <f>(M38/#REF!)*1000</f>
        <v>#REF!</v>
      </c>
      <c r="K38" s="5"/>
      <c r="L38" s="5">
        <f t="shared" si="3"/>
        <v>1.7999999999999998</v>
      </c>
      <c r="M38" s="5">
        <v>4.4999999999999998E-2</v>
      </c>
      <c r="N38" s="5">
        <v>0.06</v>
      </c>
      <c r="O38" s="5" t="s">
        <v>159</v>
      </c>
      <c r="P38" s="5"/>
    </row>
    <row r="39" spans="1:16" x14ac:dyDescent="0.2">
      <c r="A39" s="7" t="s">
        <v>51</v>
      </c>
      <c r="B39" s="5" t="s">
        <v>85</v>
      </c>
      <c r="C39" s="8">
        <v>1221597320</v>
      </c>
      <c r="D39" s="5">
        <f>(C39*I38)/1000000</f>
        <v>3053.9933000000001</v>
      </c>
      <c r="E39" s="5"/>
      <c r="F39" s="5">
        <v>60.5</v>
      </c>
      <c r="G39" s="5">
        <f t="shared" si="6"/>
        <v>18.400000000000006</v>
      </c>
      <c r="H39" s="5">
        <f t="shared" si="1"/>
        <v>78.900000000000006</v>
      </c>
      <c r="I39" s="5">
        <v>78.900000000000006</v>
      </c>
      <c r="J39" s="5">
        <f>(I38/I39)*1000</f>
        <v>31.685678073510768</v>
      </c>
      <c r="K39" s="5"/>
      <c r="L39" s="5">
        <f>(I38/H39)*100</f>
        <v>3.168567807351077</v>
      </c>
      <c r="M39" s="5">
        <v>29.39</v>
      </c>
      <c r="N39" s="5">
        <v>3.9780000000000002</v>
      </c>
      <c r="O39" s="5" t="s">
        <v>160</v>
      </c>
      <c r="P39" s="5"/>
    </row>
    <row r="40" spans="1:16" x14ac:dyDescent="0.2">
      <c r="A40" s="7" t="s">
        <v>52</v>
      </c>
      <c r="B40" s="5" t="s">
        <v>84</v>
      </c>
      <c r="C40" s="8">
        <v>144834480</v>
      </c>
      <c r="D40" s="5">
        <f t="shared" si="0"/>
        <v>4129.2310248000003</v>
      </c>
      <c r="E40" s="5"/>
      <c r="F40" s="5">
        <v>67.8</v>
      </c>
      <c r="G40" s="5">
        <f t="shared" si="6"/>
        <v>26.600000000000009</v>
      </c>
      <c r="H40" s="5">
        <f t="shared" si="1"/>
        <v>94.4</v>
      </c>
      <c r="I40" s="5">
        <v>94.4</v>
      </c>
      <c r="J40" s="5">
        <f t="shared" si="2"/>
        <v>302.01271186440675</v>
      </c>
      <c r="K40" s="5"/>
      <c r="L40" s="5">
        <f t="shared" si="3"/>
        <v>30.201271186440675</v>
      </c>
      <c r="M40" s="5">
        <v>28.51</v>
      </c>
      <c r="N40" s="5">
        <v>6.7229999999999999</v>
      </c>
      <c r="O40" s="5" t="s">
        <v>161</v>
      </c>
      <c r="P40" s="5"/>
    </row>
    <row r="41" spans="1:16" x14ac:dyDescent="0.2">
      <c r="A41" s="7" t="s">
        <v>53</v>
      </c>
      <c r="B41" s="5" t="s">
        <v>83</v>
      </c>
      <c r="C41" s="8">
        <v>225826500</v>
      </c>
      <c r="D41" s="5">
        <f t="shared" si="0"/>
        <v>3484.5028950000001</v>
      </c>
      <c r="E41" s="5"/>
      <c r="F41" s="5">
        <v>57.5</v>
      </c>
      <c r="G41" s="5">
        <f t="shared" si="6"/>
        <v>40.700000000000003</v>
      </c>
      <c r="H41" s="5">
        <f t="shared" si="1"/>
        <v>98.2</v>
      </c>
      <c r="I41" s="5">
        <v>98.2</v>
      </c>
      <c r="J41" s="5">
        <f t="shared" si="2"/>
        <v>157.12830957230142</v>
      </c>
      <c r="K41" s="5"/>
      <c r="L41" s="5">
        <f t="shared" si="3"/>
        <v>15.712830957230143</v>
      </c>
      <c r="M41" s="5">
        <v>15.43</v>
      </c>
      <c r="N41" s="5">
        <v>5.851</v>
      </c>
      <c r="O41" s="5" t="s">
        <v>162</v>
      </c>
      <c r="P41" s="5"/>
    </row>
    <row r="42" spans="1:16" x14ac:dyDescent="0.2">
      <c r="A42" s="7" t="s">
        <v>54</v>
      </c>
      <c r="B42" s="5" t="s">
        <v>82</v>
      </c>
      <c r="C42" s="8">
        <v>177337058</v>
      </c>
      <c r="D42" s="5">
        <f t="shared" si="0"/>
        <v>312.99990737000002</v>
      </c>
      <c r="E42" s="5"/>
      <c r="F42" s="5">
        <v>11.1</v>
      </c>
      <c r="G42" s="5">
        <f t="shared" si="6"/>
        <v>3.5</v>
      </c>
      <c r="H42" s="5">
        <f t="shared" si="1"/>
        <v>14.6</v>
      </c>
      <c r="I42" s="5">
        <v>14.6</v>
      </c>
      <c r="J42" s="5">
        <f t="shared" si="2"/>
        <v>120.89041095890411</v>
      </c>
      <c r="K42" s="5"/>
      <c r="L42" s="5">
        <f t="shared" si="3"/>
        <v>12.089041095890412</v>
      </c>
      <c r="M42" s="5">
        <v>1.7649999999999999</v>
      </c>
      <c r="N42" s="5">
        <v>1.27</v>
      </c>
      <c r="O42" s="5" t="s">
        <v>163</v>
      </c>
      <c r="P42" s="5"/>
    </row>
    <row r="43" spans="1:16" x14ac:dyDescent="0.2">
      <c r="A43" s="7" t="s">
        <v>55</v>
      </c>
      <c r="B43" s="5" t="s">
        <v>81</v>
      </c>
      <c r="C43" s="8">
        <v>73862998</v>
      </c>
      <c r="D43" s="5">
        <f t="shared" si="0"/>
        <v>236.36159360000002</v>
      </c>
      <c r="E43" s="5"/>
      <c r="F43" s="5">
        <v>12.8</v>
      </c>
      <c r="G43" s="5">
        <f t="shared" si="6"/>
        <v>11.599999999999998</v>
      </c>
      <c r="H43" s="5">
        <f t="shared" si="1"/>
        <v>24.4</v>
      </c>
      <c r="I43" s="5">
        <v>24.4</v>
      </c>
      <c r="J43" s="5">
        <f t="shared" si="2"/>
        <v>131.14754098360658</v>
      </c>
      <c r="K43" s="5"/>
      <c r="L43" s="5">
        <f t="shared" si="3"/>
        <v>13.114754098360656</v>
      </c>
      <c r="M43" s="5">
        <v>3.2</v>
      </c>
      <c r="N43" s="5">
        <v>2.7970000000000002</v>
      </c>
      <c r="O43" s="5" t="s">
        <v>164</v>
      </c>
      <c r="P43" s="5"/>
    </row>
    <row r="44" spans="1:16" x14ac:dyDescent="0.2">
      <c r="A44" s="7" t="s">
        <v>56</v>
      </c>
      <c r="B44" s="5" t="s">
        <v>80</v>
      </c>
      <c r="C44" s="8">
        <v>167707610</v>
      </c>
      <c r="D44" s="5">
        <f t="shared" si="0"/>
        <v>42.765440549999994</v>
      </c>
      <c r="E44" s="5"/>
      <c r="F44" s="5">
        <v>28.84</v>
      </c>
      <c r="G44" s="5">
        <f t="shared" si="6"/>
        <v>-1.1099999999999994</v>
      </c>
      <c r="H44" s="5">
        <f t="shared" si="1"/>
        <v>27.73</v>
      </c>
      <c r="I44" s="5">
        <v>27.73</v>
      </c>
      <c r="J44" s="5">
        <f t="shared" si="2"/>
        <v>9.1958168049044353</v>
      </c>
      <c r="K44" s="5"/>
      <c r="L44" s="5">
        <f t="shared" si="3"/>
        <v>0.91958168049044353</v>
      </c>
      <c r="M44" s="5">
        <v>0.255</v>
      </c>
      <c r="N44" s="5">
        <v>0.5</v>
      </c>
      <c r="O44" s="5" t="s">
        <v>165</v>
      </c>
      <c r="P44" s="5"/>
    </row>
    <row r="45" spans="1:16" x14ac:dyDescent="0.2">
      <c r="A45" s="7" t="s">
        <v>57</v>
      </c>
      <c r="B45" s="5" t="s">
        <v>79</v>
      </c>
      <c r="C45" s="8">
        <v>109333981</v>
      </c>
      <c r="D45" s="5">
        <f>(C45*I44)/1000000</f>
        <v>3031.8312931300002</v>
      </c>
      <c r="E45" s="5"/>
      <c r="F45" s="5">
        <v>261.10000000000002</v>
      </c>
      <c r="G45" s="5">
        <f t="shared" ref="G45:G53" si="7">I45-F45</f>
        <v>161.89999999999998</v>
      </c>
      <c r="H45" s="5">
        <f t="shared" si="1"/>
        <v>423</v>
      </c>
      <c r="I45" s="5">
        <v>423</v>
      </c>
      <c r="J45" s="5">
        <f>(I44/I45)*1000</f>
        <v>65.555555555555557</v>
      </c>
      <c r="K45" s="5"/>
      <c r="L45" s="5">
        <f>(I44/H45)*100</f>
        <v>6.5555555555555562</v>
      </c>
      <c r="M45" s="5">
        <v>89.41</v>
      </c>
      <c r="N45" s="5">
        <v>14.786</v>
      </c>
      <c r="O45" s="5" t="s">
        <v>166</v>
      </c>
      <c r="P45" s="5"/>
    </row>
    <row r="46" spans="1:16" x14ac:dyDescent="0.2">
      <c r="A46" s="7" t="s">
        <v>34</v>
      </c>
      <c r="B46" s="5" t="s">
        <v>78</v>
      </c>
      <c r="C46" s="8">
        <v>711667484</v>
      </c>
      <c r="D46" s="5">
        <f t="shared" si="0"/>
        <v>170.80019615999998</v>
      </c>
      <c r="E46" s="5"/>
      <c r="F46" s="5">
        <v>3</v>
      </c>
      <c r="G46" s="5">
        <f t="shared" si="7"/>
        <v>10.4</v>
      </c>
      <c r="H46" s="5">
        <f t="shared" si="1"/>
        <v>13.4</v>
      </c>
      <c r="I46" s="5">
        <v>13.4</v>
      </c>
      <c r="J46" s="5">
        <f t="shared" si="2"/>
        <v>17.910447761194028</v>
      </c>
      <c r="K46" s="5"/>
      <c r="L46" s="5">
        <f t="shared" si="3"/>
        <v>1.7910447761194028</v>
      </c>
      <c r="M46" s="5">
        <v>0.24</v>
      </c>
      <c r="N46" s="5">
        <v>0.83599999999999997</v>
      </c>
      <c r="O46" s="5" t="s">
        <v>167</v>
      </c>
      <c r="P46" s="5"/>
    </row>
    <row r="47" spans="1:16" x14ac:dyDescent="0.2">
      <c r="A47" s="7" t="s">
        <v>58</v>
      </c>
      <c r="B47" s="5" t="s">
        <v>77</v>
      </c>
      <c r="C47" s="8">
        <v>118019237</v>
      </c>
      <c r="D47" s="5">
        <f t="shared" si="0"/>
        <v>1229.7604495399999</v>
      </c>
      <c r="E47" s="5"/>
      <c r="F47" s="5">
        <v>20.5</v>
      </c>
      <c r="G47" s="5">
        <f t="shared" si="7"/>
        <v>-13</v>
      </c>
      <c r="H47" s="5">
        <f t="shared" si="1"/>
        <v>7.5</v>
      </c>
      <c r="I47" s="5">
        <v>7.5</v>
      </c>
      <c r="J47" s="5">
        <f t="shared" si="2"/>
        <v>1389.3333333333333</v>
      </c>
      <c r="K47" s="5"/>
      <c r="L47" s="5">
        <f t="shared" si="3"/>
        <v>138.93333333333334</v>
      </c>
      <c r="M47" s="5">
        <v>10.42</v>
      </c>
      <c r="N47" s="5">
        <v>3.5350000000000001</v>
      </c>
      <c r="O47" s="5" t="s">
        <v>168</v>
      </c>
      <c r="P47" s="5"/>
    </row>
    <row r="48" spans="1:16" x14ac:dyDescent="0.2">
      <c r="A48" s="7" t="s">
        <v>59</v>
      </c>
      <c r="B48" s="5" t="s">
        <v>76</v>
      </c>
      <c r="C48" s="8">
        <v>1134572767</v>
      </c>
      <c r="D48" s="5">
        <f t="shared" si="0"/>
        <v>91923.085582339991</v>
      </c>
      <c r="E48" s="5"/>
      <c r="F48" s="5">
        <v>129.4</v>
      </c>
      <c r="G48" s="5">
        <f t="shared" si="7"/>
        <v>128.6</v>
      </c>
      <c r="H48" s="5">
        <f t="shared" si="1"/>
        <v>258</v>
      </c>
      <c r="I48" s="5">
        <v>258</v>
      </c>
      <c r="J48" s="5">
        <f t="shared" si="2"/>
        <v>314.03100775193798</v>
      </c>
      <c r="K48" s="5"/>
      <c r="L48" s="5">
        <f t="shared" si="3"/>
        <v>31.403100775193799</v>
      </c>
      <c r="M48" s="5">
        <v>81.02</v>
      </c>
      <c r="N48" s="5">
        <v>8.0939999999999994</v>
      </c>
      <c r="O48" s="5" t="s">
        <v>169</v>
      </c>
      <c r="P48" s="5"/>
    </row>
    <row r="49" spans="1:16" x14ac:dyDescent="0.2">
      <c r="A49" s="7" t="s">
        <v>60</v>
      </c>
      <c r="B49" s="5" t="s">
        <v>75</v>
      </c>
      <c r="C49" s="8">
        <v>1246006654</v>
      </c>
      <c r="D49" s="5">
        <f t="shared" si="0"/>
        <v>8746.9667110800001</v>
      </c>
      <c r="E49" s="5"/>
      <c r="F49" s="5">
        <v>22.42</v>
      </c>
      <c r="G49" s="5">
        <f t="shared" si="7"/>
        <v>19.149999999999999</v>
      </c>
      <c r="H49" s="5">
        <f t="shared" si="1"/>
        <v>41.57</v>
      </c>
      <c r="I49" s="5">
        <v>41.57</v>
      </c>
      <c r="J49" s="5">
        <f t="shared" si="2"/>
        <v>168.87178253548228</v>
      </c>
      <c r="K49" s="5"/>
      <c r="L49" s="5">
        <f t="shared" si="3"/>
        <v>16.887178253548228</v>
      </c>
      <c r="M49" s="5">
        <v>7.02</v>
      </c>
      <c r="N49" s="5">
        <v>3.855</v>
      </c>
      <c r="O49" s="5" t="s">
        <v>170</v>
      </c>
      <c r="P49" s="5"/>
    </row>
    <row r="50" spans="1:16" x14ac:dyDescent="0.2">
      <c r="A50" s="7" t="s">
        <v>61</v>
      </c>
      <c r="B50" s="5" t="s">
        <v>74</v>
      </c>
      <c r="C50" s="8">
        <v>144213086</v>
      </c>
      <c r="D50" s="5">
        <f t="shared" si="0"/>
        <v>5142.6386467599996</v>
      </c>
      <c r="E50" s="5"/>
      <c r="F50" s="5">
        <v>37.799999999999997</v>
      </c>
      <c r="G50" s="5">
        <f t="shared" si="7"/>
        <v>88.3</v>
      </c>
      <c r="H50" s="5">
        <f t="shared" si="1"/>
        <v>126.1</v>
      </c>
      <c r="I50" s="5">
        <v>126.1</v>
      </c>
      <c r="J50" s="5">
        <f t="shared" si="2"/>
        <v>282.79143536875495</v>
      </c>
      <c r="K50" s="5"/>
      <c r="L50" s="5">
        <f t="shared" si="3"/>
        <v>28.279143536875495</v>
      </c>
      <c r="M50" s="5">
        <v>35.659999999999997</v>
      </c>
      <c r="N50" s="5">
        <v>20.437999999999999</v>
      </c>
      <c r="O50" s="5" t="s">
        <v>171</v>
      </c>
      <c r="P50" s="5"/>
    </row>
    <row r="51" spans="1:16" x14ac:dyDescent="0.2">
      <c r="A51" s="7" t="s">
        <v>62</v>
      </c>
      <c r="B51" s="5" t="s">
        <v>73</v>
      </c>
      <c r="C51" s="8">
        <v>11543702836</v>
      </c>
      <c r="D51" s="5">
        <f t="shared" si="0"/>
        <v>33245.864167680003</v>
      </c>
      <c r="E51" s="5"/>
      <c r="F51" s="5">
        <v>0.9</v>
      </c>
      <c r="G51" s="5">
        <f t="shared" si="7"/>
        <v>4.1999999999999993</v>
      </c>
      <c r="H51" s="5">
        <f t="shared" si="1"/>
        <v>5.0999999999999996</v>
      </c>
      <c r="I51" s="5">
        <v>5.0999999999999996</v>
      </c>
      <c r="J51" s="5">
        <f t="shared" si="2"/>
        <v>564.70588235294122</v>
      </c>
      <c r="K51" s="5"/>
      <c r="L51" s="5">
        <f t="shared" si="3"/>
        <v>56.470588235294116</v>
      </c>
      <c r="M51" s="5">
        <v>2.88</v>
      </c>
      <c r="N51" s="5">
        <v>0.40600000000000003</v>
      </c>
      <c r="O51" s="5" t="s">
        <v>172</v>
      </c>
      <c r="P51" s="5"/>
    </row>
    <row r="52" spans="1:16" x14ac:dyDescent="0.2">
      <c r="A52" s="7" t="s">
        <v>63</v>
      </c>
      <c r="B52" s="5" t="s">
        <v>72</v>
      </c>
      <c r="C52" s="8">
        <v>617886428</v>
      </c>
      <c r="D52" s="5">
        <f t="shared" si="0"/>
        <v>7618.5396572399995</v>
      </c>
      <c r="E52" s="5"/>
      <c r="F52" s="5">
        <v>28</v>
      </c>
      <c r="G52" s="5">
        <f t="shared" si="7"/>
        <v>21</v>
      </c>
      <c r="H52" s="5">
        <f t="shared" si="1"/>
        <v>49</v>
      </c>
      <c r="I52" s="5">
        <v>49</v>
      </c>
      <c r="J52" s="5">
        <f t="shared" si="2"/>
        <v>251.63265306122452</v>
      </c>
      <c r="K52" s="5"/>
      <c r="L52" s="5">
        <f t="shared" si="3"/>
        <v>25.163265306122451</v>
      </c>
      <c r="M52" s="5">
        <v>12.33</v>
      </c>
      <c r="N52" s="5">
        <v>6.5469999999999997</v>
      </c>
      <c r="O52" s="5" t="s">
        <v>173</v>
      </c>
      <c r="P52" s="5"/>
    </row>
    <row r="53" spans="1:16" x14ac:dyDescent="0.2">
      <c r="A53" s="7" t="s">
        <v>35</v>
      </c>
      <c r="B53" s="5" t="s">
        <v>71</v>
      </c>
      <c r="C53" s="8">
        <v>185340291</v>
      </c>
      <c r="D53" s="5">
        <f t="shared" si="0"/>
        <v>59.308893120000008</v>
      </c>
      <c r="E53" s="5"/>
      <c r="F53" s="5">
        <v>4.41</v>
      </c>
      <c r="G53" s="5">
        <f t="shared" si="7"/>
        <v>2.42</v>
      </c>
      <c r="H53" s="5">
        <f t="shared" si="1"/>
        <v>6.83</v>
      </c>
      <c r="I53">
        <v>6.83</v>
      </c>
      <c r="J53" s="5">
        <f t="shared" si="2"/>
        <v>46.852122986822842</v>
      </c>
      <c r="K53" s="5"/>
      <c r="L53" s="5">
        <f t="shared" si="3"/>
        <v>4.6852122986822842</v>
      </c>
      <c r="M53" s="5">
        <v>0.32</v>
      </c>
      <c r="N53" s="5">
        <v>0.28499999999999998</v>
      </c>
      <c r="O53" s="5" t="s">
        <v>174</v>
      </c>
      <c r="P53" s="5"/>
    </row>
    <row r="54" spans="1:16" x14ac:dyDescent="0.2">
      <c r="A54" s="7" t="s">
        <v>64</v>
      </c>
      <c r="B54" s="5" t="s">
        <v>70</v>
      </c>
      <c r="C54" s="8">
        <v>238302099</v>
      </c>
      <c r="D54" s="5">
        <f t="shared" si="0"/>
        <v>7737.66915453</v>
      </c>
      <c r="E54" s="5"/>
      <c r="F54" s="5">
        <f>I54-98.7</f>
        <v>-47.300000000000004</v>
      </c>
      <c r="G54" s="5">
        <v>10.6</v>
      </c>
      <c r="H54" s="5">
        <f t="shared" si="1"/>
        <v>-36.700000000000003</v>
      </c>
      <c r="I54" s="5">
        <v>51.4</v>
      </c>
      <c r="J54" s="5">
        <f t="shared" si="2"/>
        <v>631.7120622568093</v>
      </c>
      <c r="K54" s="5"/>
      <c r="L54" s="5">
        <f t="shared" si="3"/>
        <v>-88.474114441416887</v>
      </c>
      <c r="M54" s="5">
        <v>32.47</v>
      </c>
      <c r="N54" s="5">
        <v>12.244</v>
      </c>
      <c r="O54" s="5" t="s">
        <v>175</v>
      </c>
      <c r="P54" s="5"/>
    </row>
    <row r="55" spans="1:16" x14ac:dyDescent="0.2">
      <c r="A55" s="7" t="s">
        <v>65</v>
      </c>
      <c r="B55" s="5" t="s">
        <v>69</v>
      </c>
      <c r="C55" s="8">
        <v>652934452</v>
      </c>
      <c r="D55" s="5">
        <f t="shared" si="0"/>
        <v>1710.6882642400001</v>
      </c>
      <c r="E55" s="5"/>
      <c r="F55" s="5">
        <f>I55-13.89</f>
        <v>5.68</v>
      </c>
      <c r="G55" s="5">
        <v>20.49</v>
      </c>
      <c r="H55" s="5">
        <f t="shared" si="1"/>
        <v>26.169999999999998</v>
      </c>
      <c r="I55" s="5">
        <v>19.57</v>
      </c>
      <c r="J55" s="5">
        <f t="shared" si="2"/>
        <v>133.87838528359737</v>
      </c>
      <c r="K55" s="5"/>
      <c r="L55" s="5">
        <f t="shared" si="3"/>
        <v>10.011463507833399</v>
      </c>
      <c r="M55" s="5">
        <v>2.62</v>
      </c>
      <c r="N55" s="5">
        <v>2.915</v>
      </c>
      <c r="O55" s="5" t="s">
        <v>176</v>
      </c>
      <c r="P55" s="5"/>
    </row>
  </sheetData>
  <hyperlinks>
    <hyperlink ref="A2" r:id="rId1" xr:uid="{346EFF74-F65B-4D3A-B585-8A6B90297CF5}"/>
    <hyperlink ref="A3" r:id="rId2" xr:uid="{82D9344B-76B2-4F5E-A33F-53EA7E2362E6}"/>
    <hyperlink ref="A4" r:id="rId3" xr:uid="{C4CC3879-EE3B-4E05-90C3-0544B25BE097}"/>
    <hyperlink ref="A5" r:id="rId4" xr:uid="{4458CDCE-BE53-48E9-9ED5-90ABFEC57740}"/>
    <hyperlink ref="A6" r:id="rId5" xr:uid="{247F6BF8-B5C6-4523-81A6-C9E1FD4802DA}"/>
    <hyperlink ref="A7" r:id="rId6" xr:uid="{1FC99879-6E1F-4444-A28F-E69721FAEFE1}"/>
    <hyperlink ref="A8" r:id="rId7" xr:uid="{54F275BB-9FCD-4515-A04D-0ADE296FB38E}"/>
    <hyperlink ref="A9" r:id="rId8" xr:uid="{73B1E255-ECEB-4F73-A207-04C8F3BC0782}"/>
    <hyperlink ref="A10" r:id="rId9" xr:uid="{2C31C2F6-809D-4285-B2EA-DEC17535906F}"/>
    <hyperlink ref="A11" r:id="rId10" xr:uid="{C79A05C7-9738-49DE-AF97-A3D912F39BD5}"/>
    <hyperlink ref="A12" r:id="rId11" xr:uid="{5662F8C2-446D-4A8F-8022-B6D9B3260C33}"/>
    <hyperlink ref="A13" r:id="rId12" xr:uid="{1168A572-3E3B-4C52-BFBB-E7FACC090FE8}"/>
    <hyperlink ref="A14" r:id="rId13" xr:uid="{BF445F0F-31DA-4F97-8788-23385F95CE76}"/>
    <hyperlink ref="A15" r:id="rId14" xr:uid="{0870BB76-113A-4592-8EC5-7EAC822D251C}"/>
    <hyperlink ref="A16" r:id="rId15" xr:uid="{8094C8F0-40FE-494E-9B24-78F4D24E6393}"/>
    <hyperlink ref="A17" r:id="rId16" xr:uid="{6C41D128-FB3A-4BBB-9123-C8400EC7B4FE}"/>
    <hyperlink ref="A18" r:id="rId17" xr:uid="{860A97E8-04B4-4700-8C44-CFA5ABF28CB9}"/>
    <hyperlink ref="A19" r:id="rId18" xr:uid="{24FC0764-0C17-44D1-B7D3-BD8A02DD6E8C}"/>
    <hyperlink ref="A20" r:id="rId19" xr:uid="{FD648E01-7CFF-4F22-A991-077A5844CC54}"/>
    <hyperlink ref="A21" r:id="rId20" xr:uid="{932B75EB-465F-4A6E-A7D8-447A4C98EC92}"/>
    <hyperlink ref="A22" r:id="rId21" xr:uid="{CCA3CF3B-51AB-4D65-9A5A-2E809EBC4998}"/>
    <hyperlink ref="A23" r:id="rId22" xr:uid="{5B355991-F290-4AA8-AD08-9853795EBC28}"/>
    <hyperlink ref="A24" r:id="rId23" xr:uid="{16C145BA-21BF-4A01-977A-B8564A2868A3}"/>
    <hyperlink ref="A25" r:id="rId24" xr:uid="{2167DBF8-BE72-48B5-9444-7D6972792188}"/>
    <hyperlink ref="A26" r:id="rId25" xr:uid="{B4776F24-A8F7-4B7B-BF63-54382D66F460}"/>
    <hyperlink ref="A27" r:id="rId26" xr:uid="{4A5B639B-FE96-442E-BA93-05928FCE0719}"/>
    <hyperlink ref="A28" r:id="rId27" xr:uid="{FC1901D1-BFF2-4C96-8F9A-29215B711780}"/>
    <hyperlink ref="A29" r:id="rId28" xr:uid="{FFE37F8C-6564-4C39-8F86-B0DE3AD946A8}"/>
    <hyperlink ref="A31" r:id="rId29" xr:uid="{783146E4-4708-4EB6-8990-DB6E7978C7A4}"/>
    <hyperlink ref="A32" r:id="rId30" xr:uid="{BEBF256E-CD03-4A59-864C-260FD929FBEF}"/>
    <hyperlink ref="A33" r:id="rId31" xr:uid="{C5B32215-FB4A-40DF-A519-5C5BB8F8E9AB}"/>
    <hyperlink ref="A34" r:id="rId32" xr:uid="{D4B3002D-5D1B-4144-BF9C-AAB9E7D793F7}"/>
    <hyperlink ref="A35" r:id="rId33" xr:uid="{B527DE70-EB4E-49EB-915A-E6A4E170F5EA}"/>
    <hyperlink ref="A36" r:id="rId34" xr:uid="{776211AE-359F-4766-A9F4-148612330C1C}"/>
    <hyperlink ref="A37" r:id="rId35" xr:uid="{A02ADFC3-F2BE-4987-B29A-8271CF7FA354}"/>
    <hyperlink ref="A38" r:id="rId36" xr:uid="{A5CB16CC-32A6-4A9E-A6BA-2DDC747A15D6}"/>
    <hyperlink ref="A39" r:id="rId37" xr:uid="{28AFD90B-5AC1-4FF7-9A05-ED9F6452EBA2}"/>
    <hyperlink ref="A40" r:id="rId38" xr:uid="{3366A214-9862-4B2A-BB74-3DB7791292E8}"/>
    <hyperlink ref="A41" r:id="rId39" xr:uid="{15C9E208-24C0-4FF3-BAE4-9D55792606C6}"/>
    <hyperlink ref="A42" r:id="rId40" xr:uid="{25A25E2C-EDDF-4362-BF4B-FB3E0BBF5921}"/>
    <hyperlink ref="A43" r:id="rId41" xr:uid="{C9658709-528A-44C5-9B4D-A53A6E1D8038}"/>
    <hyperlink ref="A44" r:id="rId42" xr:uid="{3F154C2E-513A-4451-94C0-6557CA3D2D95}"/>
    <hyperlink ref="A45" r:id="rId43" xr:uid="{909DA9ED-BCF9-4F7D-B491-9BF45C4638AD}"/>
    <hyperlink ref="A46" r:id="rId44" xr:uid="{FF4DAD06-7AC0-415B-9F5E-BED760A147E1}"/>
    <hyperlink ref="A47" r:id="rId45" xr:uid="{46B7DBF2-352C-48CC-B116-97AB89A53935}"/>
    <hyperlink ref="A48" r:id="rId46" xr:uid="{C2B8404D-E77C-4B70-9A51-A621E1F23123}"/>
    <hyperlink ref="A49" r:id="rId47" xr:uid="{40828C50-CA25-4ED0-813B-FAE6B8BBE819}"/>
    <hyperlink ref="A50" r:id="rId48" xr:uid="{17B8AD22-07C6-42E1-B8E6-90750B74301C}"/>
    <hyperlink ref="A51" r:id="rId49" xr:uid="{E9BE8E9A-F59C-4E28-921A-60DEC16D4771}"/>
    <hyperlink ref="A52" r:id="rId50" xr:uid="{1D6B96D3-ECA5-4FE9-967A-973853282DCE}"/>
    <hyperlink ref="A53" r:id="rId51" xr:uid="{5F8B2680-D22B-4645-B753-522C38C35382}"/>
    <hyperlink ref="A54" r:id="rId52" xr:uid="{57AC118F-9EFA-4369-B203-57E9256C21BE}"/>
    <hyperlink ref="A55" r:id="rId53" xr:uid="{4DE064A7-AAF4-4B5D-BA87-C984BE2E7963}"/>
    <hyperlink ref="A30" r:id="rId54" xr:uid="{845C5F33-254F-46B0-9597-13D7605C6D54}"/>
  </hyperlinks>
  <pageMargins left="0.7" right="0.7" top="0.75" bottom="0.75" header="0.3" footer="0.3"/>
  <pageSetup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Hassin</dc:creator>
  <cp:lastModifiedBy>Mortuza Sinha</cp:lastModifiedBy>
  <dcterms:created xsi:type="dcterms:W3CDTF">2025-12-07T12:28:46Z</dcterms:created>
  <dcterms:modified xsi:type="dcterms:W3CDTF">2025-12-29T20:39:58Z</dcterms:modified>
</cp:coreProperties>
</file>